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kt\Documents\Grad School\Conference Submissions\AAMAS 26\Supplementary Material\"/>
    </mc:Choice>
  </mc:AlternateContent>
  <xr:revisionPtr revIDLastSave="0" documentId="13_ncr:1_{C151EE5A-C45E-4D42-AC67-7EBECC13E51C}" xr6:coauthVersionLast="47" xr6:coauthVersionMax="47" xr10:uidLastSave="{00000000-0000-0000-0000-000000000000}"/>
  <bookViews>
    <workbookView xWindow="-110" yWindow="-110" windowWidth="19420" windowHeight="11620" xr2:uid="{099E338D-5462-4F39-B67B-DEF90DEEF6CE}"/>
  </bookViews>
  <sheets>
    <sheet name="CP-Nets" sheetId="3" r:id="rId1"/>
    <sheet name="CP-Theorie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17" i="3" l="1"/>
  <c r="BU18" i="3"/>
  <c r="BU19" i="3"/>
  <c r="BU20" i="3"/>
  <c r="BU21" i="3"/>
  <c r="BU22" i="3"/>
  <c r="BU3" i="3"/>
  <c r="BU4" i="3"/>
  <c r="BU5" i="3"/>
  <c r="BU6" i="3"/>
  <c r="BU7" i="3"/>
  <c r="BU8" i="3"/>
  <c r="BU9" i="3"/>
  <c r="BU10" i="3"/>
  <c r="BU11" i="3"/>
  <c r="BU12" i="3"/>
  <c r="BU13" i="3"/>
  <c r="BU14" i="3"/>
  <c r="BU15" i="3"/>
  <c r="BU16" i="3"/>
  <c r="BU2" i="3"/>
  <c r="BB23" i="5"/>
  <c r="BB22" i="5"/>
  <c r="BB21" i="5"/>
  <c r="BB20" i="5"/>
  <c r="BC19" i="5"/>
  <c r="BB19" i="5"/>
  <c r="AO23" i="5"/>
  <c r="AO22" i="5"/>
  <c r="AO21" i="5"/>
  <c r="AP21" i="5"/>
  <c r="AO20" i="5"/>
  <c r="AO19" i="5"/>
  <c r="BC3" i="5"/>
  <c r="BC4" i="5"/>
  <c r="BC5" i="5"/>
  <c r="BC20" i="5" s="1"/>
  <c r="BC6" i="5"/>
  <c r="BC7" i="5"/>
  <c r="BC8" i="5"/>
  <c r="BC9" i="5"/>
  <c r="BC10" i="5"/>
  <c r="BC21" i="5" s="1"/>
  <c r="BC11" i="5"/>
  <c r="BC22" i="5" s="1"/>
  <c r="BC12" i="5"/>
  <c r="BC13" i="5"/>
  <c r="BC14" i="5"/>
  <c r="BC23" i="5" s="1"/>
  <c r="BC15" i="5"/>
  <c r="BC16" i="5"/>
  <c r="BC2" i="5"/>
  <c r="AP3" i="5"/>
  <c r="AP19" i="5" s="1"/>
  <c r="AP4" i="5"/>
  <c r="AP5" i="5"/>
  <c r="AP20" i="5" s="1"/>
  <c r="AP6" i="5"/>
  <c r="AP7" i="5"/>
  <c r="AP8" i="5"/>
  <c r="AP9" i="5"/>
  <c r="AP10" i="5"/>
  <c r="AP11" i="5"/>
  <c r="AP22" i="5" s="1"/>
  <c r="AP12" i="5"/>
  <c r="AP13" i="5"/>
  <c r="AP14" i="5"/>
  <c r="AP23" i="5" s="1"/>
  <c r="AP15" i="5"/>
  <c r="AP16" i="5"/>
  <c r="AP2" i="5"/>
  <c r="BC18" i="3"/>
  <c r="BC19" i="3"/>
  <c r="BC20" i="3"/>
  <c r="BC21" i="3"/>
  <c r="BC22" i="3"/>
  <c r="BC3" i="3"/>
  <c r="BC4" i="3"/>
  <c r="BC5" i="3"/>
  <c r="BC6" i="3"/>
  <c r="BC7" i="3"/>
  <c r="BC8" i="3"/>
  <c r="BC9" i="3"/>
  <c r="BC10" i="3"/>
  <c r="BC11" i="3"/>
  <c r="BC12" i="3"/>
  <c r="BC13" i="3"/>
  <c r="BC14" i="3"/>
  <c r="BC15" i="3"/>
  <c r="BC16" i="3"/>
  <c r="BC17" i="3"/>
  <c r="BC2" i="3"/>
  <c r="AP19" i="3"/>
  <c r="AP20" i="3"/>
  <c r="AP21" i="3"/>
  <c r="AP22" i="3"/>
  <c r="AP6" i="3"/>
  <c r="AP7" i="3"/>
  <c r="AP8" i="3"/>
  <c r="AP9" i="3"/>
  <c r="AP10" i="3"/>
  <c r="AP11" i="3"/>
  <c r="AP12" i="3"/>
  <c r="AP13" i="3"/>
  <c r="AP14" i="3"/>
  <c r="AP15" i="3"/>
  <c r="AP16" i="3"/>
  <c r="AP17" i="3"/>
  <c r="AP18" i="3"/>
  <c r="AP3" i="3"/>
  <c r="AP4" i="3"/>
  <c r="AP5" i="3"/>
  <c r="AP2" i="3"/>
  <c r="AZ16" i="5"/>
  <c r="CV16" i="5" s="1"/>
  <c r="AZ15" i="5"/>
  <c r="CV15" i="5" s="1"/>
  <c r="AZ14" i="5"/>
  <c r="AZ23" i="5" s="1"/>
  <c r="AZ13" i="5"/>
  <c r="CV13" i="5" s="1"/>
  <c r="AZ12" i="5"/>
  <c r="CN12" i="5" s="1"/>
  <c r="AZ11" i="5"/>
  <c r="CN11" i="5" s="1"/>
  <c r="AZ10" i="5"/>
  <c r="CV10" i="5" s="1"/>
  <c r="AZ9" i="5"/>
  <c r="CV9" i="5" s="1"/>
  <c r="AZ8" i="5"/>
  <c r="CV8" i="5" s="1"/>
  <c r="AZ7" i="5"/>
  <c r="CV7" i="5" s="1"/>
  <c r="AZ6" i="5"/>
  <c r="CV6" i="5" s="1"/>
  <c r="AZ5" i="5"/>
  <c r="CN5" i="5" s="1"/>
  <c r="AZ4" i="5"/>
  <c r="CN4" i="5" s="1"/>
  <c r="AZ3" i="5"/>
  <c r="CN3" i="5" s="1"/>
  <c r="AZ2" i="5"/>
  <c r="CN2" i="5" s="1"/>
  <c r="AL16" i="5"/>
  <c r="CI16" i="5" s="1"/>
  <c r="AL15" i="5"/>
  <c r="CC15" i="5" s="1"/>
  <c r="AL14" i="5"/>
  <c r="CC14" i="5" s="1"/>
  <c r="AL13" i="5"/>
  <c r="CI13" i="5" s="1"/>
  <c r="AL12" i="5"/>
  <c r="CC12" i="5" s="1"/>
  <c r="AL11" i="5"/>
  <c r="AL10" i="5"/>
  <c r="CI10" i="5" s="1"/>
  <c r="AL9" i="5"/>
  <c r="CI9" i="5" s="1"/>
  <c r="AL8" i="5"/>
  <c r="CI8" i="5" s="1"/>
  <c r="AL7" i="5"/>
  <c r="AL6" i="5"/>
  <c r="CC6" i="5" s="1"/>
  <c r="AL5" i="5"/>
  <c r="CI5" i="5" s="1"/>
  <c r="AL4" i="5"/>
  <c r="CI4" i="5" s="1"/>
  <c r="AL3" i="5"/>
  <c r="AL2" i="5"/>
  <c r="AZ22" i="3"/>
  <c r="CS22" i="3" s="1"/>
  <c r="AZ21" i="3"/>
  <c r="CS21" i="3" s="1"/>
  <c r="AZ20" i="3"/>
  <c r="CK20" i="3" s="1"/>
  <c r="AZ19" i="3"/>
  <c r="CS19" i="3" s="1"/>
  <c r="AZ18" i="3"/>
  <c r="CS18" i="3" s="1"/>
  <c r="AZ17" i="3"/>
  <c r="CS17" i="3" s="1"/>
  <c r="AZ16" i="3"/>
  <c r="CK16" i="3" s="1"/>
  <c r="AZ15" i="3"/>
  <c r="CS15" i="3" s="1"/>
  <c r="AZ14" i="3"/>
  <c r="CS14" i="3" s="1"/>
  <c r="AZ13" i="3"/>
  <c r="CK13" i="3" s="1"/>
  <c r="AZ12" i="3"/>
  <c r="CK12" i="3" s="1"/>
  <c r="AZ11" i="3"/>
  <c r="CK11" i="3" s="1"/>
  <c r="AZ10" i="3"/>
  <c r="CS10" i="3" s="1"/>
  <c r="AZ9" i="3"/>
  <c r="CS9" i="3" s="1"/>
  <c r="AZ8" i="3"/>
  <c r="CS8" i="3" s="1"/>
  <c r="AZ7" i="3"/>
  <c r="CS7" i="3" s="1"/>
  <c r="AZ6" i="3"/>
  <c r="CS6" i="3" s="1"/>
  <c r="AZ5" i="3"/>
  <c r="CS5" i="3" s="1"/>
  <c r="AZ4" i="3"/>
  <c r="CK4" i="3" s="1"/>
  <c r="AZ3" i="3"/>
  <c r="CK3" i="3" s="1"/>
  <c r="AZ2" i="3"/>
  <c r="CK2" i="3" s="1"/>
  <c r="AL22" i="3"/>
  <c r="CI22" i="3" s="1"/>
  <c r="AL21" i="3"/>
  <c r="BW21" i="3" s="1"/>
  <c r="AL20" i="3"/>
  <c r="CB20" i="3" s="1"/>
  <c r="AL19" i="3"/>
  <c r="CB19" i="3" s="1"/>
  <c r="AL18" i="3"/>
  <c r="CB18" i="3" s="1"/>
  <c r="AL17" i="3"/>
  <c r="CB17" i="3" s="1"/>
  <c r="AL16" i="3"/>
  <c r="BW16" i="3" s="1"/>
  <c r="AL15" i="3"/>
  <c r="BW15" i="3" s="1"/>
  <c r="AL14" i="3"/>
  <c r="CI14" i="3" s="1"/>
  <c r="AL13" i="3"/>
  <c r="BW13" i="3" s="1"/>
  <c r="AL12" i="3"/>
  <c r="CB12" i="3" s="1"/>
  <c r="AL11" i="3"/>
  <c r="BW11" i="3" s="1"/>
  <c r="AL10" i="3"/>
  <c r="CI10" i="3" s="1"/>
  <c r="AL9" i="3"/>
  <c r="CB9" i="3" s="1"/>
  <c r="AL8" i="3"/>
  <c r="CB8" i="3" s="1"/>
  <c r="AL7" i="3"/>
  <c r="BW7" i="3" s="1"/>
  <c r="AL6" i="3"/>
  <c r="CI6" i="3" s="1"/>
  <c r="AL5" i="3"/>
  <c r="CI5" i="3" s="1"/>
  <c r="AL4" i="3"/>
  <c r="BW4" i="3" s="1"/>
  <c r="AL3" i="3"/>
  <c r="CB3" i="3" s="1"/>
  <c r="AL2" i="3"/>
  <c r="CB2" i="3" s="1"/>
  <c r="CZ3" i="5"/>
  <c r="CZ4" i="5"/>
  <c r="CZ5" i="5"/>
  <c r="CZ6" i="5"/>
  <c r="CZ7" i="5"/>
  <c r="CZ8" i="5"/>
  <c r="CZ9" i="5"/>
  <c r="CZ10" i="5"/>
  <c r="CZ11" i="5"/>
  <c r="CZ12" i="5"/>
  <c r="CZ13" i="5"/>
  <c r="CZ22" i="5" s="1"/>
  <c r="CZ14" i="5"/>
  <c r="CZ15" i="5"/>
  <c r="CZ16" i="5"/>
  <c r="CZ2" i="5"/>
  <c r="CY3" i="5"/>
  <c r="CY19" i="5" s="1"/>
  <c r="CY4" i="5"/>
  <c r="CY5" i="5"/>
  <c r="CY6" i="5"/>
  <c r="CY7" i="5"/>
  <c r="CY8" i="5"/>
  <c r="CY9" i="5"/>
  <c r="CY10" i="5"/>
  <c r="CY11" i="5"/>
  <c r="CY22" i="5" s="1"/>
  <c r="CY12" i="5"/>
  <c r="CY13" i="5"/>
  <c r="CY14" i="5"/>
  <c r="CY15" i="5"/>
  <c r="CY16" i="5"/>
  <c r="CY2" i="5"/>
  <c r="CX3" i="5"/>
  <c r="CX4" i="5"/>
  <c r="CX5" i="5"/>
  <c r="CX6" i="5"/>
  <c r="CX7" i="5"/>
  <c r="CX8" i="5"/>
  <c r="CX9" i="5"/>
  <c r="CX10" i="5"/>
  <c r="CX11" i="5"/>
  <c r="CX12" i="5"/>
  <c r="CX13" i="5"/>
  <c r="CX14" i="5"/>
  <c r="CX15" i="5"/>
  <c r="CX16" i="5"/>
  <c r="CX2" i="5"/>
  <c r="CW3" i="5"/>
  <c r="CW4" i="5"/>
  <c r="CW5" i="5"/>
  <c r="CW6" i="5"/>
  <c r="CW7" i="5"/>
  <c r="CW8" i="5"/>
  <c r="CW9" i="5"/>
  <c r="CW10" i="5"/>
  <c r="CW11" i="5"/>
  <c r="CW12" i="5"/>
  <c r="CW13" i="5"/>
  <c r="CW14" i="5"/>
  <c r="CW15" i="5"/>
  <c r="CW16" i="5"/>
  <c r="CW2" i="5"/>
  <c r="CV4" i="5"/>
  <c r="CT3" i="5"/>
  <c r="CT4" i="5"/>
  <c r="CT5" i="5"/>
  <c r="CT6" i="5"/>
  <c r="CT7" i="5"/>
  <c r="CT8" i="5"/>
  <c r="CT9" i="5"/>
  <c r="CT10" i="5"/>
  <c r="CT11" i="5"/>
  <c r="CT12" i="5"/>
  <c r="CT13" i="5"/>
  <c r="CT14" i="5"/>
  <c r="CT15" i="5"/>
  <c r="CT16" i="5"/>
  <c r="CS3" i="5"/>
  <c r="CS4" i="5"/>
  <c r="CS5" i="5"/>
  <c r="CS6" i="5"/>
  <c r="CS7" i="5"/>
  <c r="CS8" i="5"/>
  <c r="CS9" i="5"/>
  <c r="CS10" i="5"/>
  <c r="CS11" i="5"/>
  <c r="CS12" i="5"/>
  <c r="CS13" i="5"/>
  <c r="CS14" i="5"/>
  <c r="CS15" i="5"/>
  <c r="CS16" i="5"/>
  <c r="CS2" i="5"/>
  <c r="CT2" i="5"/>
  <c r="CR3" i="5"/>
  <c r="CR4" i="5"/>
  <c r="CR5" i="5"/>
  <c r="CR6" i="5"/>
  <c r="CR7" i="5"/>
  <c r="CR8" i="5"/>
  <c r="CR9" i="5"/>
  <c r="CR10" i="5"/>
  <c r="CR11" i="5"/>
  <c r="CR12" i="5"/>
  <c r="CR13" i="5"/>
  <c r="CR14" i="5"/>
  <c r="CR15" i="5"/>
  <c r="CR16" i="5"/>
  <c r="CR2" i="5"/>
  <c r="CQ3" i="5"/>
  <c r="CQ4" i="5"/>
  <c r="CQ5" i="5"/>
  <c r="CQ6" i="5"/>
  <c r="CQ7" i="5"/>
  <c r="CQ8" i="5"/>
  <c r="CQ9" i="5"/>
  <c r="CQ10" i="5"/>
  <c r="CQ11" i="5"/>
  <c r="CQ12" i="5"/>
  <c r="CQ13" i="5"/>
  <c r="CQ14" i="5"/>
  <c r="CQ15" i="5"/>
  <c r="CQ16" i="5"/>
  <c r="CP3" i="5"/>
  <c r="CP4" i="5"/>
  <c r="CP5" i="5"/>
  <c r="CP6" i="5"/>
  <c r="CP7" i="5"/>
  <c r="CP8" i="5"/>
  <c r="CP9" i="5"/>
  <c r="CP10" i="5"/>
  <c r="CP11" i="5"/>
  <c r="CP12" i="5"/>
  <c r="CP13" i="5"/>
  <c r="CP14" i="5"/>
  <c r="CP15" i="5"/>
  <c r="CP16" i="5"/>
  <c r="CQ2" i="5"/>
  <c r="CP2" i="5"/>
  <c r="CO3" i="5"/>
  <c r="CO4" i="5"/>
  <c r="CO5" i="5"/>
  <c r="CO6" i="5"/>
  <c r="CO7" i="5"/>
  <c r="CO8" i="5"/>
  <c r="CO9" i="5"/>
  <c r="CO10" i="5"/>
  <c r="CO11" i="5"/>
  <c r="CO12" i="5"/>
  <c r="CO13" i="5"/>
  <c r="CO14" i="5"/>
  <c r="CO15" i="5"/>
  <c r="CO16" i="5"/>
  <c r="CO2" i="5"/>
  <c r="BH16" i="5"/>
  <c r="BJ16" i="5" s="1"/>
  <c r="BI16" i="5"/>
  <c r="BI3" i="5"/>
  <c r="BI4" i="5"/>
  <c r="BI5" i="5"/>
  <c r="BI6" i="5"/>
  <c r="BI7" i="5"/>
  <c r="BI8" i="5"/>
  <c r="BI9" i="5"/>
  <c r="BI10" i="5"/>
  <c r="BI11" i="5"/>
  <c r="BI12" i="5"/>
  <c r="BI13" i="5"/>
  <c r="BI14" i="5"/>
  <c r="BI15" i="5"/>
  <c r="BI2" i="5"/>
  <c r="BH3" i="5"/>
  <c r="BJ3" i="5" s="1"/>
  <c r="BH4" i="5"/>
  <c r="BJ4" i="5" s="1"/>
  <c r="BH5" i="5"/>
  <c r="BJ5" i="5" s="1"/>
  <c r="BJ20" i="5" s="1"/>
  <c r="BH6" i="5"/>
  <c r="BJ6" i="5" s="1"/>
  <c r="BH7" i="5"/>
  <c r="BJ7" i="5" s="1"/>
  <c r="BH8" i="5"/>
  <c r="BJ8" i="5" s="1"/>
  <c r="BH9" i="5"/>
  <c r="BJ9" i="5" s="1"/>
  <c r="BH10" i="5"/>
  <c r="BJ10" i="5" s="1"/>
  <c r="BH11" i="5"/>
  <c r="BH12" i="5"/>
  <c r="BJ12" i="5" s="1"/>
  <c r="BH13" i="5"/>
  <c r="BJ13" i="5" s="1"/>
  <c r="BH14" i="5"/>
  <c r="BJ14" i="5" s="1"/>
  <c r="BH15" i="5"/>
  <c r="BJ15" i="5" s="1"/>
  <c r="BH2" i="5"/>
  <c r="BJ2" i="5" s="1"/>
  <c r="BA23" i="5"/>
  <c r="BD23" i="5"/>
  <c r="BE23" i="5"/>
  <c r="BF23" i="5"/>
  <c r="BG23" i="5"/>
  <c r="BK23" i="5"/>
  <c r="BL23" i="5"/>
  <c r="BA22" i="5"/>
  <c r="BD22" i="5"/>
  <c r="BE22" i="5"/>
  <c r="BF22" i="5"/>
  <c r="BG22" i="5"/>
  <c r="BK22" i="5"/>
  <c r="BL22" i="5"/>
  <c r="BA21" i="5"/>
  <c r="BD21" i="5"/>
  <c r="BE21" i="5"/>
  <c r="BF21" i="5"/>
  <c r="BG21" i="5"/>
  <c r="BK21" i="5"/>
  <c r="BL21" i="5"/>
  <c r="BK20" i="5"/>
  <c r="BL20" i="5"/>
  <c r="BA20" i="5"/>
  <c r="BD20" i="5"/>
  <c r="BE20" i="5"/>
  <c r="BF20" i="5"/>
  <c r="BG20" i="5"/>
  <c r="BA19" i="5"/>
  <c r="BD19" i="5"/>
  <c r="BE19" i="5"/>
  <c r="BF19" i="5"/>
  <c r="BG19" i="5"/>
  <c r="BK19" i="5"/>
  <c r="BL19" i="5"/>
  <c r="CP3" i="3"/>
  <c r="CP4" i="3"/>
  <c r="CP5" i="3"/>
  <c r="CP6" i="3"/>
  <c r="CP7" i="3"/>
  <c r="CP8" i="3"/>
  <c r="CP9" i="3"/>
  <c r="CP10" i="3"/>
  <c r="CP11" i="3"/>
  <c r="CP12" i="3"/>
  <c r="CP13" i="3"/>
  <c r="CP14" i="3"/>
  <c r="CP15" i="3"/>
  <c r="CP16" i="3"/>
  <c r="CP17" i="3"/>
  <c r="CP18" i="3"/>
  <c r="CP19" i="3"/>
  <c r="CP20" i="3"/>
  <c r="CP21" i="3"/>
  <c r="CP22" i="3"/>
  <c r="CP2" i="3"/>
  <c r="CQ3" i="3"/>
  <c r="CQ4" i="3"/>
  <c r="CQ5" i="3"/>
  <c r="CQ6" i="3"/>
  <c r="CQ7" i="3"/>
  <c r="CQ8" i="3"/>
  <c r="CQ9" i="3"/>
  <c r="CQ10" i="3"/>
  <c r="CQ11" i="3"/>
  <c r="CQ12" i="3"/>
  <c r="CQ13" i="3"/>
  <c r="CQ14" i="3"/>
  <c r="CQ15" i="3"/>
  <c r="CQ16" i="3"/>
  <c r="CQ17" i="3"/>
  <c r="CQ18" i="3"/>
  <c r="CQ19" i="3"/>
  <c r="CQ20" i="3"/>
  <c r="CQ21" i="3"/>
  <c r="CQ22" i="3"/>
  <c r="CQ2" i="3"/>
  <c r="CO3" i="3"/>
  <c r="CO4" i="3"/>
  <c r="CO5" i="3"/>
  <c r="CO6" i="3"/>
  <c r="CO7" i="3"/>
  <c r="CO8" i="3"/>
  <c r="CO9" i="3"/>
  <c r="CO10" i="3"/>
  <c r="CO11" i="3"/>
  <c r="CO12" i="3"/>
  <c r="CO13" i="3"/>
  <c r="CO14" i="3"/>
  <c r="CO15" i="3"/>
  <c r="CO16" i="3"/>
  <c r="CO17" i="3"/>
  <c r="CO18" i="3"/>
  <c r="CO19" i="3"/>
  <c r="CO20" i="3"/>
  <c r="CO21" i="3"/>
  <c r="CO22" i="3"/>
  <c r="CO2" i="3"/>
  <c r="CW3" i="3"/>
  <c r="CW4" i="3"/>
  <c r="CW5" i="3"/>
  <c r="CW6" i="3"/>
  <c r="CW7" i="3"/>
  <c r="CW8" i="3"/>
  <c r="CW9" i="3"/>
  <c r="CW10" i="3"/>
  <c r="CW11" i="3"/>
  <c r="CW12" i="3"/>
  <c r="CW13" i="3"/>
  <c r="CW14" i="3"/>
  <c r="CW15" i="3"/>
  <c r="CW16" i="3"/>
  <c r="CW17" i="3"/>
  <c r="CW18" i="3"/>
  <c r="CW19" i="3"/>
  <c r="CW20" i="3"/>
  <c r="CW21" i="3"/>
  <c r="CW22" i="3"/>
  <c r="CW2" i="3"/>
  <c r="CN3" i="3"/>
  <c r="CN4" i="3"/>
  <c r="CN5" i="3"/>
  <c r="CN6" i="3"/>
  <c r="CN7" i="3"/>
  <c r="CN8" i="3"/>
  <c r="CN9" i="3"/>
  <c r="CN10" i="3"/>
  <c r="CN11" i="3"/>
  <c r="CN12" i="3"/>
  <c r="CN13" i="3"/>
  <c r="CN14" i="3"/>
  <c r="CN15" i="3"/>
  <c r="CN16" i="3"/>
  <c r="CN17" i="3"/>
  <c r="CN18" i="3"/>
  <c r="CN19" i="3"/>
  <c r="CN20" i="3"/>
  <c r="CN21" i="3"/>
  <c r="CN22" i="3"/>
  <c r="CN2" i="3"/>
  <c r="CV3" i="3"/>
  <c r="CV4" i="3"/>
  <c r="CV5" i="3"/>
  <c r="CV6" i="3"/>
  <c r="CV7" i="3"/>
  <c r="CV8" i="3"/>
  <c r="CV9" i="3"/>
  <c r="CV10" i="3"/>
  <c r="CV11" i="3"/>
  <c r="CV12" i="3"/>
  <c r="CV13" i="3"/>
  <c r="CV14" i="3"/>
  <c r="CV15" i="3"/>
  <c r="CV16" i="3"/>
  <c r="CV17" i="3"/>
  <c r="CV18" i="3"/>
  <c r="CV19" i="3"/>
  <c r="CV20" i="3"/>
  <c r="CV21" i="3"/>
  <c r="CV22" i="3"/>
  <c r="CV2" i="3"/>
  <c r="CU3" i="3"/>
  <c r="CU4" i="3"/>
  <c r="CU5" i="3"/>
  <c r="CU6" i="3"/>
  <c r="CU7" i="3"/>
  <c r="CU8" i="3"/>
  <c r="CU9" i="3"/>
  <c r="CU10" i="3"/>
  <c r="CU11" i="3"/>
  <c r="CU12" i="3"/>
  <c r="CU13" i="3"/>
  <c r="CU14" i="3"/>
  <c r="CU15" i="3"/>
  <c r="CU16" i="3"/>
  <c r="CU17" i="3"/>
  <c r="CU18" i="3"/>
  <c r="CU19" i="3"/>
  <c r="CU20" i="3"/>
  <c r="CU21" i="3"/>
  <c r="CU22" i="3"/>
  <c r="CU2" i="3"/>
  <c r="CT3" i="3"/>
  <c r="CT4" i="3"/>
  <c r="CT5" i="3"/>
  <c r="CT6" i="3"/>
  <c r="CT26" i="3" s="1"/>
  <c r="CT7" i="3"/>
  <c r="CT8" i="3"/>
  <c r="CT9" i="3"/>
  <c r="CT10" i="3"/>
  <c r="CT11" i="3"/>
  <c r="CT12" i="3"/>
  <c r="CT13" i="3"/>
  <c r="CT14" i="3"/>
  <c r="CT15" i="3"/>
  <c r="CT16" i="3"/>
  <c r="CT17" i="3"/>
  <c r="CT18" i="3"/>
  <c r="CT19" i="3"/>
  <c r="CT20" i="3"/>
  <c r="CT21" i="3"/>
  <c r="CT22" i="3"/>
  <c r="CT31" i="3" s="1"/>
  <c r="CT2" i="3"/>
  <c r="CS13" i="3"/>
  <c r="CS20" i="3"/>
  <c r="CM3" i="3"/>
  <c r="CM4" i="3"/>
  <c r="CM5" i="3"/>
  <c r="CM6" i="3"/>
  <c r="CM7" i="3"/>
  <c r="CM8" i="3"/>
  <c r="CM9" i="3"/>
  <c r="CM10" i="3"/>
  <c r="CM11" i="3"/>
  <c r="CM12" i="3"/>
  <c r="CM13" i="3"/>
  <c r="CM14" i="3"/>
  <c r="CM15" i="3"/>
  <c r="CM16" i="3"/>
  <c r="CM17" i="3"/>
  <c r="CM18" i="3"/>
  <c r="CM19" i="3"/>
  <c r="CM20" i="3"/>
  <c r="CM21" i="3"/>
  <c r="CM22" i="3"/>
  <c r="CM2" i="3"/>
  <c r="CL3" i="3"/>
  <c r="CL4" i="3"/>
  <c r="CL5" i="3"/>
  <c r="CL6" i="3"/>
  <c r="CL7" i="3"/>
  <c r="CL8" i="3"/>
  <c r="CL9" i="3"/>
  <c r="CL10" i="3"/>
  <c r="CL11" i="3"/>
  <c r="CL12" i="3"/>
  <c r="CL13" i="3"/>
  <c r="CL14" i="3"/>
  <c r="CL15" i="3"/>
  <c r="CL16" i="3"/>
  <c r="CL17" i="3"/>
  <c r="CL18" i="3"/>
  <c r="CL19" i="3"/>
  <c r="CL20" i="3"/>
  <c r="CL21" i="3"/>
  <c r="CL22" i="3"/>
  <c r="CL2" i="3"/>
  <c r="CK6" i="3"/>
  <c r="CK9" i="3"/>
  <c r="CK19" i="3"/>
  <c r="CK22" i="3"/>
  <c r="BH3" i="3"/>
  <c r="BH4" i="3"/>
  <c r="BJ4" i="3" s="1"/>
  <c r="BH5" i="3"/>
  <c r="BJ5" i="3" s="1"/>
  <c r="BH6" i="3"/>
  <c r="BJ6" i="3" s="1"/>
  <c r="BH7" i="3"/>
  <c r="BJ7" i="3" s="1"/>
  <c r="BH8" i="3"/>
  <c r="BJ8" i="3" s="1"/>
  <c r="BH9" i="3"/>
  <c r="BJ9" i="3" s="1"/>
  <c r="BH10" i="3"/>
  <c r="BJ10" i="3" s="1"/>
  <c r="BH11" i="3"/>
  <c r="BJ11" i="3" s="1"/>
  <c r="BH12" i="3"/>
  <c r="BJ12" i="3" s="1"/>
  <c r="BH13" i="3"/>
  <c r="BJ13" i="3" s="1"/>
  <c r="BH14" i="3"/>
  <c r="BJ14" i="3" s="1"/>
  <c r="BH15" i="3"/>
  <c r="BJ15" i="3" s="1"/>
  <c r="BH16" i="3"/>
  <c r="BJ16" i="3" s="1"/>
  <c r="BH17" i="3"/>
  <c r="BJ17" i="3" s="1"/>
  <c r="BH18" i="3"/>
  <c r="BJ18" i="3" s="1"/>
  <c r="BH19" i="3"/>
  <c r="BJ19" i="3" s="1"/>
  <c r="BH20" i="3"/>
  <c r="BJ20" i="3" s="1"/>
  <c r="BH21" i="3"/>
  <c r="BJ21" i="3" s="1"/>
  <c r="BH22" i="3"/>
  <c r="BJ22" i="3" s="1"/>
  <c r="BI3" i="3"/>
  <c r="BI4" i="3"/>
  <c r="BI5" i="3"/>
  <c r="BI6" i="3"/>
  <c r="BI7" i="3"/>
  <c r="BI8" i="3"/>
  <c r="BI9" i="3"/>
  <c r="BI10" i="3"/>
  <c r="BI11" i="3"/>
  <c r="BI12" i="3"/>
  <c r="BI13" i="3"/>
  <c r="BI14" i="3"/>
  <c r="BI15" i="3"/>
  <c r="BI16" i="3"/>
  <c r="BI17" i="3"/>
  <c r="BI18" i="3"/>
  <c r="BI19" i="3"/>
  <c r="BI20" i="3"/>
  <c r="BI21" i="3"/>
  <c r="BI22" i="3"/>
  <c r="BJ3" i="3"/>
  <c r="BI2" i="3"/>
  <c r="BH2" i="3"/>
  <c r="BJ2" i="3" s="1"/>
  <c r="BV16" i="5"/>
  <c r="BV3" i="5"/>
  <c r="BV4" i="5"/>
  <c r="BV5" i="5"/>
  <c r="BV6" i="5"/>
  <c r="BV7" i="5"/>
  <c r="BV8" i="5"/>
  <c r="BV9" i="5"/>
  <c r="BV10" i="5"/>
  <c r="BV11" i="5"/>
  <c r="BV12" i="5"/>
  <c r="BV13" i="5"/>
  <c r="BV14" i="5"/>
  <c r="BV15" i="5"/>
  <c r="BV2" i="5"/>
  <c r="BZ3" i="3"/>
  <c r="BZ4" i="3"/>
  <c r="BZ5" i="3"/>
  <c r="BZ6" i="3"/>
  <c r="BZ7" i="3"/>
  <c r="BZ8" i="3"/>
  <c r="BZ9" i="3"/>
  <c r="BZ10" i="3"/>
  <c r="BZ11" i="3"/>
  <c r="BZ12" i="3"/>
  <c r="BZ13" i="3"/>
  <c r="BZ14" i="3"/>
  <c r="BZ15" i="3"/>
  <c r="BZ16" i="3"/>
  <c r="BZ17" i="3"/>
  <c r="BZ18" i="3"/>
  <c r="BZ19" i="3"/>
  <c r="BZ20" i="3"/>
  <c r="BZ21" i="3"/>
  <c r="BZ22" i="3"/>
  <c r="BZ2" i="3"/>
  <c r="CA3" i="5"/>
  <c r="CA4" i="5"/>
  <c r="CA5" i="5"/>
  <c r="CA6" i="5"/>
  <c r="CA7" i="5"/>
  <c r="CA8" i="5"/>
  <c r="CA9" i="5"/>
  <c r="CA10" i="5"/>
  <c r="CA11" i="5"/>
  <c r="CA12" i="5"/>
  <c r="CA13" i="5"/>
  <c r="CA14" i="5"/>
  <c r="CA15" i="5"/>
  <c r="CA16" i="5"/>
  <c r="CA2" i="5"/>
  <c r="BT4" i="3"/>
  <c r="CE3" i="3"/>
  <c r="CE4" i="3"/>
  <c r="CE5" i="3"/>
  <c r="CE6" i="3"/>
  <c r="CE7" i="3"/>
  <c r="CE8" i="3"/>
  <c r="CE9" i="3"/>
  <c r="CE10" i="3"/>
  <c r="CE11" i="3"/>
  <c r="CE12" i="3"/>
  <c r="CE13" i="3"/>
  <c r="CE14" i="3"/>
  <c r="CE15" i="3"/>
  <c r="CE16" i="3"/>
  <c r="CE17" i="3"/>
  <c r="CE18" i="3"/>
  <c r="CE19" i="3"/>
  <c r="CE20" i="3"/>
  <c r="CE21" i="3"/>
  <c r="CE22" i="3"/>
  <c r="CE2" i="3"/>
  <c r="CF3" i="3"/>
  <c r="CF4" i="3"/>
  <c r="CF5" i="3"/>
  <c r="CF6" i="3"/>
  <c r="CF7" i="3"/>
  <c r="CF8" i="3"/>
  <c r="CF9" i="3"/>
  <c r="CF10" i="3"/>
  <c r="CF11" i="3"/>
  <c r="CF12" i="3"/>
  <c r="CF13" i="3"/>
  <c r="CF14" i="3"/>
  <c r="CF15" i="3"/>
  <c r="CF16" i="3"/>
  <c r="CF17" i="3"/>
  <c r="CF18" i="3"/>
  <c r="CF19" i="3"/>
  <c r="CF20" i="3"/>
  <c r="CF21" i="3"/>
  <c r="CF22" i="3"/>
  <c r="CF2" i="3"/>
  <c r="CK3" i="5"/>
  <c r="CK4" i="5"/>
  <c r="CK5" i="5"/>
  <c r="CK6" i="5"/>
  <c r="CK7" i="5"/>
  <c r="CK8" i="5"/>
  <c r="CK9" i="5"/>
  <c r="CK10" i="5"/>
  <c r="CK11" i="5"/>
  <c r="CK12" i="5"/>
  <c r="CK13" i="5"/>
  <c r="CK14" i="5"/>
  <c r="CK15" i="5"/>
  <c r="CK16" i="5"/>
  <c r="CK2" i="5"/>
  <c r="CJ3" i="5"/>
  <c r="CJ4" i="5"/>
  <c r="CJ5" i="5"/>
  <c r="CJ6" i="5"/>
  <c r="CJ7" i="5"/>
  <c r="CJ8" i="5"/>
  <c r="CJ9" i="5"/>
  <c r="CJ10" i="5"/>
  <c r="CJ11" i="5"/>
  <c r="CJ12" i="5"/>
  <c r="CJ13" i="5"/>
  <c r="CJ14" i="5"/>
  <c r="CJ15" i="5"/>
  <c r="CJ16" i="5"/>
  <c r="CJ2" i="5"/>
  <c r="CI3" i="5"/>
  <c r="CI11" i="5"/>
  <c r="BZ3" i="5"/>
  <c r="BZ4" i="5"/>
  <c r="BZ5" i="5"/>
  <c r="BZ6" i="5"/>
  <c r="BZ7" i="5"/>
  <c r="BZ8" i="5"/>
  <c r="BZ9" i="5"/>
  <c r="BZ10" i="5"/>
  <c r="BZ11" i="5"/>
  <c r="BZ12" i="5"/>
  <c r="BZ13" i="5"/>
  <c r="BZ14" i="5"/>
  <c r="BZ15" i="5"/>
  <c r="BZ16" i="5"/>
  <c r="BZ2" i="5"/>
  <c r="BY3" i="5"/>
  <c r="BY4" i="5"/>
  <c r="BY5" i="5"/>
  <c r="BY6" i="5"/>
  <c r="BY7" i="5"/>
  <c r="BY8" i="5"/>
  <c r="BY9" i="5"/>
  <c r="BY10" i="5"/>
  <c r="BY11" i="5"/>
  <c r="BY12" i="5"/>
  <c r="BY13" i="5"/>
  <c r="BY14" i="5"/>
  <c r="BY15" i="5"/>
  <c r="BY16" i="5"/>
  <c r="BY2" i="5"/>
  <c r="CF3" i="5"/>
  <c r="CF4" i="5"/>
  <c r="CF5" i="5"/>
  <c r="CF6" i="5"/>
  <c r="CF7" i="5"/>
  <c r="CF8" i="5"/>
  <c r="CF9" i="5"/>
  <c r="CF10" i="5"/>
  <c r="CF11" i="5"/>
  <c r="CF12" i="5"/>
  <c r="CF13" i="5"/>
  <c r="CF14" i="5"/>
  <c r="CF15" i="5"/>
  <c r="CF16" i="5"/>
  <c r="CF2" i="5"/>
  <c r="AT16" i="5"/>
  <c r="AV16" i="5" s="1"/>
  <c r="AX23" i="5"/>
  <c r="AW23" i="5"/>
  <c r="AS23" i="5"/>
  <c r="AR23" i="5"/>
  <c r="AQ23" i="5"/>
  <c r="AN23" i="5"/>
  <c r="AM23" i="5"/>
  <c r="AJ23" i="5"/>
  <c r="AI23" i="5"/>
  <c r="AE23" i="5"/>
  <c r="AD23" i="5"/>
  <c r="AC23" i="5"/>
  <c r="AB23" i="5"/>
  <c r="AA23" i="5"/>
  <c r="Z23" i="5"/>
  <c r="X23" i="5"/>
  <c r="W23" i="5"/>
  <c r="S23" i="5"/>
  <c r="R23" i="5"/>
  <c r="Q23" i="5"/>
  <c r="P23" i="5"/>
  <c r="O23" i="5"/>
  <c r="N23" i="5"/>
  <c r="I23" i="5"/>
  <c r="H23" i="5"/>
  <c r="G23" i="5"/>
  <c r="F23" i="5"/>
  <c r="E23" i="5"/>
  <c r="C23" i="5"/>
  <c r="B23" i="5"/>
  <c r="A23" i="5"/>
  <c r="AX22" i="5"/>
  <c r="AW22" i="5"/>
  <c r="AS22" i="5"/>
  <c r="AR22" i="5"/>
  <c r="AQ22" i="5"/>
  <c r="AN22" i="5"/>
  <c r="AM22" i="5"/>
  <c r="AJ22" i="5"/>
  <c r="AI22" i="5"/>
  <c r="AE22" i="5"/>
  <c r="AD22" i="5"/>
  <c r="AC22" i="5"/>
  <c r="AB22" i="5"/>
  <c r="AA22" i="5"/>
  <c r="Z22" i="5"/>
  <c r="X22" i="5"/>
  <c r="W22" i="5"/>
  <c r="S22" i="5"/>
  <c r="R22" i="5"/>
  <c r="Q22" i="5"/>
  <c r="P22" i="5"/>
  <c r="O22" i="5"/>
  <c r="N22" i="5"/>
  <c r="I22" i="5"/>
  <c r="H22" i="5"/>
  <c r="G22" i="5"/>
  <c r="F22" i="5"/>
  <c r="E22" i="5"/>
  <c r="C22" i="5"/>
  <c r="B22" i="5"/>
  <c r="A22" i="5"/>
  <c r="AX21" i="5"/>
  <c r="AW21" i="5"/>
  <c r="AS21" i="5"/>
  <c r="AR21" i="5"/>
  <c r="AQ21" i="5"/>
  <c r="AN21" i="5"/>
  <c r="AM21" i="5"/>
  <c r="AJ21" i="5"/>
  <c r="AI21" i="5"/>
  <c r="AE21" i="5"/>
  <c r="AD21" i="5"/>
  <c r="AC21" i="5"/>
  <c r="AB21" i="5"/>
  <c r="AA21" i="5"/>
  <c r="Z21" i="5"/>
  <c r="X21" i="5"/>
  <c r="W21" i="5"/>
  <c r="S21" i="5"/>
  <c r="R21" i="5"/>
  <c r="Q21" i="5"/>
  <c r="P21" i="5"/>
  <c r="O21" i="5"/>
  <c r="N21" i="5"/>
  <c r="I21" i="5"/>
  <c r="H21" i="5"/>
  <c r="G21" i="5"/>
  <c r="F21" i="5"/>
  <c r="E21" i="5"/>
  <c r="C21" i="5"/>
  <c r="B21" i="5"/>
  <c r="A21" i="5"/>
  <c r="AX20" i="5"/>
  <c r="AW20" i="5"/>
  <c r="AS20" i="5"/>
  <c r="AR20" i="5"/>
  <c r="AQ20" i="5"/>
  <c r="AN20" i="5"/>
  <c r="AM20" i="5"/>
  <c r="AJ20" i="5"/>
  <c r="AI20" i="5"/>
  <c r="AE20" i="5"/>
  <c r="AD20" i="5"/>
  <c r="AC20" i="5"/>
  <c r="AB20" i="5"/>
  <c r="AA20" i="5"/>
  <c r="Z20" i="5"/>
  <c r="X20" i="5"/>
  <c r="W20" i="5"/>
  <c r="S20" i="5"/>
  <c r="R20" i="5"/>
  <c r="Q20" i="5"/>
  <c r="P20" i="5"/>
  <c r="O20" i="5"/>
  <c r="N20" i="5"/>
  <c r="I20" i="5"/>
  <c r="H20" i="5"/>
  <c r="G20" i="5"/>
  <c r="F20" i="5"/>
  <c r="E20" i="5"/>
  <c r="C20" i="5"/>
  <c r="B20" i="5"/>
  <c r="A20" i="5"/>
  <c r="AX19" i="5"/>
  <c r="AW19" i="5"/>
  <c r="AS19" i="5"/>
  <c r="AR19" i="5"/>
  <c r="AQ19" i="5"/>
  <c r="AN19" i="5"/>
  <c r="AM19" i="5"/>
  <c r="AJ19" i="5"/>
  <c r="AI19" i="5"/>
  <c r="AE19" i="5"/>
  <c r="AD19" i="5"/>
  <c r="AC19" i="5"/>
  <c r="AB19" i="5"/>
  <c r="AA19" i="5"/>
  <c r="Z19" i="5"/>
  <c r="X19" i="5"/>
  <c r="W19" i="5"/>
  <c r="S19" i="5"/>
  <c r="R19" i="5"/>
  <c r="Q19" i="5"/>
  <c r="P19" i="5"/>
  <c r="O19" i="5"/>
  <c r="N19" i="5"/>
  <c r="I19" i="5"/>
  <c r="H19" i="5"/>
  <c r="G19" i="5"/>
  <c r="F19" i="5"/>
  <c r="E19" i="5"/>
  <c r="C19" i="5"/>
  <c r="B19" i="5"/>
  <c r="A19" i="5"/>
  <c r="CE16" i="5"/>
  <c r="CD16" i="5"/>
  <c r="BX16" i="5"/>
  <c r="BW16" i="5"/>
  <c r="BT16" i="5"/>
  <c r="BS16" i="5"/>
  <c r="BR16" i="5"/>
  <c r="BQ16" i="5"/>
  <c r="BP16" i="5"/>
  <c r="BO16" i="5"/>
  <c r="AU16" i="5"/>
  <c r="AG16" i="5"/>
  <c r="AF16" i="5"/>
  <c r="AH16" i="5" s="1"/>
  <c r="U16" i="5"/>
  <c r="T16" i="5"/>
  <c r="V16" i="5" s="1"/>
  <c r="K16" i="5"/>
  <c r="J16" i="5"/>
  <c r="L16" i="5" s="1"/>
  <c r="CE15" i="5"/>
  <c r="CD15" i="5"/>
  <c r="BX15" i="5"/>
  <c r="BW15" i="5"/>
  <c r="BT15" i="5"/>
  <c r="BS15" i="5"/>
  <c r="BR15" i="5"/>
  <c r="BQ15" i="5"/>
  <c r="BP15" i="5"/>
  <c r="BO15" i="5"/>
  <c r="AU15" i="5"/>
  <c r="AT15" i="5"/>
  <c r="AV15" i="5" s="1"/>
  <c r="AG15" i="5"/>
  <c r="AF15" i="5"/>
  <c r="AH15" i="5" s="1"/>
  <c r="U15" i="5"/>
  <c r="T15" i="5"/>
  <c r="V15" i="5" s="1"/>
  <c r="K15" i="5"/>
  <c r="J15" i="5"/>
  <c r="L15" i="5" s="1"/>
  <c r="CE14" i="5"/>
  <c r="CD14" i="5"/>
  <c r="BX14" i="5"/>
  <c r="BW14" i="5"/>
  <c r="BT14" i="5"/>
  <c r="BS14" i="5"/>
  <c r="BR14" i="5"/>
  <c r="BQ14" i="5"/>
  <c r="BP14" i="5"/>
  <c r="BO14" i="5"/>
  <c r="AU14" i="5"/>
  <c r="AT14" i="5"/>
  <c r="AV14" i="5" s="1"/>
  <c r="AG14" i="5"/>
  <c r="AF14" i="5"/>
  <c r="U14" i="5"/>
  <c r="T14" i="5"/>
  <c r="K14" i="5"/>
  <c r="J14" i="5"/>
  <c r="L14" i="5" s="1"/>
  <c r="CE13" i="5"/>
  <c r="CD13" i="5"/>
  <c r="BX13" i="5"/>
  <c r="BW13" i="5"/>
  <c r="BT13" i="5"/>
  <c r="BS13" i="5"/>
  <c r="BR13" i="5"/>
  <c r="BQ13" i="5"/>
  <c r="BP13" i="5"/>
  <c r="BO13" i="5"/>
  <c r="AU13" i="5"/>
  <c r="AT13" i="5"/>
  <c r="AV13" i="5" s="1"/>
  <c r="AG13" i="5"/>
  <c r="AF13" i="5"/>
  <c r="AH13" i="5" s="1"/>
  <c r="U13" i="5"/>
  <c r="T13" i="5"/>
  <c r="V13" i="5" s="1"/>
  <c r="K13" i="5"/>
  <c r="J13" i="5"/>
  <c r="L13" i="5" s="1"/>
  <c r="CE12" i="5"/>
  <c r="CD12" i="5"/>
  <c r="BX12" i="5"/>
  <c r="BW12" i="5"/>
  <c r="BT12" i="5"/>
  <c r="BS12" i="5"/>
  <c r="BR12" i="5"/>
  <c r="BQ12" i="5"/>
  <c r="BP12" i="5"/>
  <c r="BO12" i="5"/>
  <c r="AU12" i="5"/>
  <c r="AT12" i="5"/>
  <c r="AV12" i="5" s="1"/>
  <c r="AG12" i="5"/>
  <c r="AF12" i="5"/>
  <c r="AH12" i="5" s="1"/>
  <c r="U12" i="5"/>
  <c r="T12" i="5"/>
  <c r="V12" i="5" s="1"/>
  <c r="K12" i="5"/>
  <c r="J12" i="5"/>
  <c r="L12" i="5" s="1"/>
  <c r="CE11" i="5"/>
  <c r="CD11" i="5"/>
  <c r="CC11" i="5"/>
  <c r="BX11" i="5"/>
  <c r="BW11" i="5"/>
  <c r="BT11" i="5"/>
  <c r="BS11" i="5"/>
  <c r="BR11" i="5"/>
  <c r="BQ11" i="5"/>
  <c r="BP11" i="5"/>
  <c r="BO11" i="5"/>
  <c r="AU11" i="5"/>
  <c r="AT11" i="5"/>
  <c r="AV11" i="5" s="1"/>
  <c r="AG11" i="5"/>
  <c r="AF11" i="5"/>
  <c r="U11" i="5"/>
  <c r="T11" i="5"/>
  <c r="K11" i="5"/>
  <c r="J11" i="5"/>
  <c r="L11" i="5" s="1"/>
  <c r="CE10" i="5"/>
  <c r="CD10" i="5"/>
  <c r="BX10" i="5"/>
  <c r="BW10" i="5"/>
  <c r="BT10" i="5"/>
  <c r="BS10" i="5"/>
  <c r="BR10" i="5"/>
  <c r="BQ10" i="5"/>
  <c r="BP10" i="5"/>
  <c r="BO10" i="5"/>
  <c r="AU10" i="5"/>
  <c r="AT10" i="5"/>
  <c r="AV10" i="5" s="1"/>
  <c r="AG10" i="5"/>
  <c r="AF10" i="5"/>
  <c r="AH10" i="5" s="1"/>
  <c r="U10" i="5"/>
  <c r="T10" i="5"/>
  <c r="V10" i="5" s="1"/>
  <c r="K10" i="5"/>
  <c r="J10" i="5"/>
  <c r="L10" i="5" s="1"/>
  <c r="CE9" i="5"/>
  <c r="CD9" i="5"/>
  <c r="CC9" i="5"/>
  <c r="BX9" i="5"/>
  <c r="BW9" i="5"/>
  <c r="BT9" i="5"/>
  <c r="BS9" i="5"/>
  <c r="BR9" i="5"/>
  <c r="BQ9" i="5"/>
  <c r="BP9" i="5"/>
  <c r="BO9" i="5"/>
  <c r="AU9" i="5"/>
  <c r="AT9" i="5"/>
  <c r="AV9" i="5" s="1"/>
  <c r="AG9" i="5"/>
  <c r="AF9" i="5"/>
  <c r="AH9" i="5" s="1"/>
  <c r="U9" i="5"/>
  <c r="T9" i="5"/>
  <c r="V9" i="5" s="1"/>
  <c r="K9" i="5"/>
  <c r="J9" i="5"/>
  <c r="L9" i="5" s="1"/>
  <c r="CE8" i="5"/>
  <c r="CD8" i="5"/>
  <c r="BX8" i="5"/>
  <c r="BW8" i="5"/>
  <c r="BT8" i="5"/>
  <c r="BS8" i="5"/>
  <c r="BR8" i="5"/>
  <c r="BQ8" i="5"/>
  <c r="BP8" i="5"/>
  <c r="BO8" i="5"/>
  <c r="AU8" i="5"/>
  <c r="AT8" i="5"/>
  <c r="AV8" i="5" s="1"/>
  <c r="AG8" i="5"/>
  <c r="AF8" i="5"/>
  <c r="U8" i="5"/>
  <c r="T8" i="5"/>
  <c r="K8" i="5"/>
  <c r="J8" i="5"/>
  <c r="CE7" i="5"/>
  <c r="CD7" i="5"/>
  <c r="BX7" i="5"/>
  <c r="BW7" i="5"/>
  <c r="BT7" i="5"/>
  <c r="BS7" i="5"/>
  <c r="BR7" i="5"/>
  <c r="BQ7" i="5"/>
  <c r="BP7" i="5"/>
  <c r="BO7" i="5"/>
  <c r="AU7" i="5"/>
  <c r="AT7" i="5"/>
  <c r="AV7" i="5" s="1"/>
  <c r="AG7" i="5"/>
  <c r="AF7" i="5"/>
  <c r="AH7" i="5" s="1"/>
  <c r="U7" i="5"/>
  <c r="T7" i="5"/>
  <c r="V7" i="5" s="1"/>
  <c r="K7" i="5"/>
  <c r="J7" i="5"/>
  <c r="L7" i="5" s="1"/>
  <c r="CE6" i="5"/>
  <c r="CD6" i="5"/>
  <c r="BX6" i="5"/>
  <c r="BW6" i="5"/>
  <c r="BT6" i="5"/>
  <c r="BS6" i="5"/>
  <c r="BR6" i="5"/>
  <c r="BQ6" i="5"/>
  <c r="BP6" i="5"/>
  <c r="BO6" i="5"/>
  <c r="AU6" i="5"/>
  <c r="AT6" i="5"/>
  <c r="AV6" i="5" s="1"/>
  <c r="AG6" i="5"/>
  <c r="AF6" i="5"/>
  <c r="AH6" i="5" s="1"/>
  <c r="U6" i="5"/>
  <c r="T6" i="5"/>
  <c r="V6" i="5" s="1"/>
  <c r="K6" i="5"/>
  <c r="J6" i="5"/>
  <c r="L6" i="5" s="1"/>
  <c r="CE5" i="5"/>
  <c r="CD5" i="5"/>
  <c r="BX5" i="5"/>
  <c r="BW5" i="5"/>
  <c r="BT5" i="5"/>
  <c r="BS5" i="5"/>
  <c r="BR5" i="5"/>
  <c r="BQ5" i="5"/>
  <c r="BP5" i="5"/>
  <c r="BO5" i="5"/>
  <c r="AU5" i="5"/>
  <c r="AT5" i="5"/>
  <c r="AV5" i="5" s="1"/>
  <c r="AG5" i="5"/>
  <c r="AF5" i="5"/>
  <c r="U5" i="5"/>
  <c r="T5" i="5"/>
  <c r="K5" i="5"/>
  <c r="J5" i="5"/>
  <c r="CE4" i="5"/>
  <c r="CD4" i="5"/>
  <c r="BX4" i="5"/>
  <c r="BW4" i="5"/>
  <c r="BT4" i="5"/>
  <c r="BS4" i="5"/>
  <c r="BR4" i="5"/>
  <c r="BQ4" i="5"/>
  <c r="BP4" i="5"/>
  <c r="BO4" i="5"/>
  <c r="AU4" i="5"/>
  <c r="AT4" i="5"/>
  <c r="AV4" i="5" s="1"/>
  <c r="AG4" i="5"/>
  <c r="AF4" i="5"/>
  <c r="AH4" i="5" s="1"/>
  <c r="U4" i="5"/>
  <c r="T4" i="5"/>
  <c r="V4" i="5" s="1"/>
  <c r="K4" i="5"/>
  <c r="J4" i="5"/>
  <c r="L4" i="5" s="1"/>
  <c r="CE3" i="5"/>
  <c r="CD3" i="5"/>
  <c r="CC3" i="5"/>
  <c r="BX3" i="5"/>
  <c r="BW3" i="5"/>
  <c r="BT3" i="5"/>
  <c r="BS3" i="5"/>
  <c r="BR3" i="5"/>
  <c r="BQ3" i="5"/>
  <c r="BP3" i="5"/>
  <c r="BO3" i="5"/>
  <c r="AU3" i="5"/>
  <c r="AT3" i="5"/>
  <c r="AV3" i="5" s="1"/>
  <c r="AG3" i="5"/>
  <c r="AF3" i="5"/>
  <c r="AH3" i="5" s="1"/>
  <c r="U3" i="5"/>
  <c r="T3" i="5"/>
  <c r="V3" i="5" s="1"/>
  <c r="K3" i="5"/>
  <c r="J3" i="5"/>
  <c r="L3" i="5" s="1"/>
  <c r="CE2" i="5"/>
  <c r="CD2" i="5"/>
  <c r="BX2" i="5"/>
  <c r="BW2" i="5"/>
  <c r="BT2" i="5"/>
  <c r="BS2" i="5"/>
  <c r="BR2" i="5"/>
  <c r="BQ2" i="5"/>
  <c r="BP2" i="5"/>
  <c r="BO2" i="5"/>
  <c r="AU2" i="5"/>
  <c r="AT2" i="5"/>
  <c r="AV2" i="5" s="1"/>
  <c r="AG2" i="5"/>
  <c r="AF2" i="5"/>
  <c r="U2" i="5"/>
  <c r="T2" i="5"/>
  <c r="K2" i="5"/>
  <c r="J2" i="5"/>
  <c r="CD3" i="3"/>
  <c r="CD4" i="3"/>
  <c r="CD5" i="3"/>
  <c r="CD6" i="3"/>
  <c r="CD7" i="3"/>
  <c r="CD8" i="3"/>
  <c r="CD9" i="3"/>
  <c r="CD10" i="3"/>
  <c r="CD11" i="3"/>
  <c r="CD12" i="3"/>
  <c r="CD13" i="3"/>
  <c r="CD14" i="3"/>
  <c r="CD15" i="3"/>
  <c r="CD16" i="3"/>
  <c r="CD17" i="3"/>
  <c r="CD18" i="3"/>
  <c r="CD19" i="3"/>
  <c r="CD20" i="3"/>
  <c r="CD21" i="3"/>
  <c r="CD22" i="3"/>
  <c r="CD2" i="3"/>
  <c r="CC3" i="3"/>
  <c r="CC4" i="3"/>
  <c r="CC5" i="3"/>
  <c r="CC6" i="3"/>
  <c r="CC7" i="3"/>
  <c r="CC8" i="3"/>
  <c r="CC9" i="3"/>
  <c r="CC10" i="3"/>
  <c r="CC11" i="3"/>
  <c r="CC12" i="3"/>
  <c r="CC13" i="3"/>
  <c r="CC14" i="3"/>
  <c r="CC15" i="3"/>
  <c r="CC16" i="3"/>
  <c r="CC17" i="3"/>
  <c r="CC18" i="3"/>
  <c r="CC19" i="3"/>
  <c r="CC20" i="3"/>
  <c r="CC21" i="3"/>
  <c r="CC22" i="3"/>
  <c r="CC2" i="3"/>
  <c r="CB6" i="3"/>
  <c r="CB11" i="3"/>
  <c r="BY3" i="3"/>
  <c r="BY4" i="3"/>
  <c r="BY5" i="3"/>
  <c r="BY6" i="3"/>
  <c r="BY7" i="3"/>
  <c r="BY8" i="3"/>
  <c r="BY9" i="3"/>
  <c r="BY10" i="3"/>
  <c r="BY11" i="3"/>
  <c r="BY12" i="3"/>
  <c r="BY13" i="3"/>
  <c r="BY14" i="3"/>
  <c r="BY15" i="3"/>
  <c r="BY16" i="3"/>
  <c r="BY17" i="3"/>
  <c r="BY18" i="3"/>
  <c r="BY19" i="3"/>
  <c r="BY20" i="3"/>
  <c r="BY21" i="3"/>
  <c r="BY22" i="3"/>
  <c r="BY2" i="3"/>
  <c r="BX3" i="3"/>
  <c r="BX4" i="3"/>
  <c r="BX5" i="3"/>
  <c r="BX6" i="3"/>
  <c r="BX7" i="3"/>
  <c r="BX8" i="3"/>
  <c r="BX9" i="3"/>
  <c r="BX10" i="3"/>
  <c r="BX11" i="3"/>
  <c r="BX12" i="3"/>
  <c r="BX13" i="3"/>
  <c r="BX14" i="3"/>
  <c r="BX15" i="3"/>
  <c r="BX16" i="3"/>
  <c r="BX17" i="3"/>
  <c r="BX18" i="3"/>
  <c r="BX19" i="3"/>
  <c r="BX20" i="3"/>
  <c r="BX21" i="3"/>
  <c r="BX22" i="3"/>
  <c r="BX2" i="3"/>
  <c r="BW9" i="3"/>
  <c r="BW17" i="3"/>
  <c r="BW22" i="3"/>
  <c r="BO14" i="3"/>
  <c r="BT3" i="3"/>
  <c r="BT5" i="3"/>
  <c r="BT6" i="3"/>
  <c r="BT7" i="3"/>
  <c r="BT8" i="3"/>
  <c r="BT9" i="3"/>
  <c r="BT10" i="3"/>
  <c r="BT11" i="3"/>
  <c r="BT12" i="3"/>
  <c r="BT13" i="3"/>
  <c r="BT14" i="3"/>
  <c r="BT15" i="3"/>
  <c r="BT16" i="3"/>
  <c r="BT17" i="3"/>
  <c r="BT18" i="3"/>
  <c r="BT19" i="3"/>
  <c r="BT20" i="3"/>
  <c r="BT21" i="3"/>
  <c r="BT22" i="3"/>
  <c r="BT2" i="3"/>
  <c r="BS3" i="3"/>
  <c r="BS4" i="3"/>
  <c r="BS5" i="3"/>
  <c r="BS6" i="3"/>
  <c r="BS7" i="3"/>
  <c r="BS8" i="3"/>
  <c r="BS9" i="3"/>
  <c r="BS10" i="3"/>
  <c r="BS11" i="3"/>
  <c r="BS12" i="3"/>
  <c r="BS13" i="3"/>
  <c r="BS14" i="3"/>
  <c r="BS15" i="3"/>
  <c r="BS16" i="3"/>
  <c r="BS17" i="3"/>
  <c r="BS18" i="3"/>
  <c r="BS19" i="3"/>
  <c r="BS20" i="3"/>
  <c r="BS21" i="3"/>
  <c r="BS22" i="3"/>
  <c r="BS2" i="3"/>
  <c r="BR3" i="3"/>
  <c r="BR4" i="3"/>
  <c r="BR5" i="3"/>
  <c r="BR6" i="3"/>
  <c r="BR7" i="3"/>
  <c r="BR8" i="3"/>
  <c r="BR9" i="3"/>
  <c r="BR10" i="3"/>
  <c r="BR11" i="3"/>
  <c r="BR12" i="3"/>
  <c r="BR13" i="3"/>
  <c r="BR14" i="3"/>
  <c r="BR15" i="3"/>
  <c r="BR16" i="3"/>
  <c r="BR17" i="3"/>
  <c r="BR18" i="3"/>
  <c r="BR19" i="3"/>
  <c r="BR20" i="3"/>
  <c r="BR21" i="3"/>
  <c r="BR22" i="3"/>
  <c r="BR2" i="3"/>
  <c r="BQ3" i="3"/>
  <c r="BQ4" i="3"/>
  <c r="BQ5" i="3"/>
  <c r="BQ6" i="3"/>
  <c r="BQ7" i="3"/>
  <c r="BQ8" i="3"/>
  <c r="BQ9" i="3"/>
  <c r="BQ10" i="3"/>
  <c r="BQ11" i="3"/>
  <c r="BQ12" i="3"/>
  <c r="BQ13" i="3"/>
  <c r="BQ14" i="3"/>
  <c r="BQ15" i="3"/>
  <c r="BQ16" i="3"/>
  <c r="BQ17" i="3"/>
  <c r="BQ18" i="3"/>
  <c r="BQ19" i="3"/>
  <c r="BQ20" i="3"/>
  <c r="BQ21" i="3"/>
  <c r="BQ22" i="3"/>
  <c r="BQ2" i="3"/>
  <c r="BP3" i="3"/>
  <c r="BP4" i="3"/>
  <c r="BP5" i="3"/>
  <c r="BP6" i="3"/>
  <c r="BP7" i="3"/>
  <c r="BP8" i="3"/>
  <c r="BP9" i="3"/>
  <c r="BP10" i="3"/>
  <c r="BP11" i="3"/>
  <c r="BP12" i="3"/>
  <c r="BP13" i="3"/>
  <c r="BP14" i="3"/>
  <c r="BP15" i="3"/>
  <c r="BP16" i="3"/>
  <c r="BP17" i="3"/>
  <c r="BP18" i="3"/>
  <c r="BP19" i="3"/>
  <c r="BP20" i="3"/>
  <c r="BP21" i="3"/>
  <c r="BP22" i="3"/>
  <c r="BP2" i="3"/>
  <c r="BO3" i="3"/>
  <c r="BO4" i="3"/>
  <c r="BO5" i="3"/>
  <c r="BO6" i="3"/>
  <c r="BO7" i="3"/>
  <c r="BO8" i="3"/>
  <c r="BO9" i="3"/>
  <c r="BO10" i="3"/>
  <c r="BO11" i="3"/>
  <c r="BO12" i="3"/>
  <c r="BO13" i="3"/>
  <c r="BO15" i="3"/>
  <c r="BO16" i="3"/>
  <c r="BO17" i="3"/>
  <c r="BO18" i="3"/>
  <c r="BO19" i="3"/>
  <c r="BO20" i="3"/>
  <c r="BO21" i="3"/>
  <c r="BO22" i="3"/>
  <c r="BO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" i="3"/>
  <c r="U2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" i="3"/>
  <c r="AG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" i="3"/>
  <c r="AU3" i="3"/>
  <c r="AU4" i="3"/>
  <c r="AU5" i="3"/>
  <c r="AU6" i="3"/>
  <c r="AU7" i="3"/>
  <c r="AU8" i="3"/>
  <c r="AU9" i="3"/>
  <c r="AU10" i="3"/>
  <c r="AU11" i="3"/>
  <c r="AU12" i="3"/>
  <c r="AU13" i="3"/>
  <c r="AU14" i="3"/>
  <c r="AU15" i="3"/>
  <c r="AU16" i="3"/>
  <c r="AU17" i="3"/>
  <c r="AU18" i="3"/>
  <c r="AU19" i="3"/>
  <c r="AU20" i="3"/>
  <c r="AU21" i="3"/>
  <c r="AU22" i="3"/>
  <c r="AU2" i="3"/>
  <c r="B31" i="3"/>
  <c r="C31" i="3"/>
  <c r="E31" i="3"/>
  <c r="F31" i="3"/>
  <c r="G31" i="3"/>
  <c r="H31" i="3"/>
  <c r="I31" i="3"/>
  <c r="N31" i="3"/>
  <c r="O31" i="3"/>
  <c r="P31" i="3"/>
  <c r="Q31" i="3"/>
  <c r="R31" i="3"/>
  <c r="S31" i="3"/>
  <c r="W31" i="3"/>
  <c r="X31" i="3"/>
  <c r="Z31" i="3"/>
  <c r="AA31" i="3"/>
  <c r="AB31" i="3"/>
  <c r="AC31" i="3"/>
  <c r="AD31" i="3"/>
  <c r="AE31" i="3"/>
  <c r="AI31" i="3"/>
  <c r="AJ31" i="3"/>
  <c r="AM31" i="3"/>
  <c r="AN31" i="3"/>
  <c r="AQ31" i="3"/>
  <c r="AR31" i="3"/>
  <c r="AS31" i="3"/>
  <c r="AW31" i="3"/>
  <c r="AX31" i="3"/>
  <c r="B30" i="3"/>
  <c r="C30" i="3"/>
  <c r="E30" i="3"/>
  <c r="F30" i="3"/>
  <c r="G30" i="3"/>
  <c r="H30" i="3"/>
  <c r="I30" i="3"/>
  <c r="N30" i="3"/>
  <c r="O30" i="3"/>
  <c r="P30" i="3"/>
  <c r="Q30" i="3"/>
  <c r="R30" i="3"/>
  <c r="S30" i="3"/>
  <c r="W30" i="3"/>
  <c r="X30" i="3"/>
  <c r="Z30" i="3"/>
  <c r="AA30" i="3"/>
  <c r="AB30" i="3"/>
  <c r="AC30" i="3"/>
  <c r="AD30" i="3"/>
  <c r="AE30" i="3"/>
  <c r="AI30" i="3"/>
  <c r="AJ30" i="3"/>
  <c r="AM30" i="3"/>
  <c r="AN30" i="3"/>
  <c r="AQ30" i="3"/>
  <c r="AR30" i="3"/>
  <c r="AS30" i="3"/>
  <c r="AW30" i="3"/>
  <c r="AX30" i="3"/>
  <c r="B29" i="3"/>
  <c r="C29" i="3"/>
  <c r="E29" i="3"/>
  <c r="F29" i="3"/>
  <c r="G29" i="3"/>
  <c r="H29" i="3"/>
  <c r="I29" i="3"/>
  <c r="N29" i="3"/>
  <c r="O29" i="3"/>
  <c r="P29" i="3"/>
  <c r="Q29" i="3"/>
  <c r="R29" i="3"/>
  <c r="S29" i="3"/>
  <c r="W29" i="3"/>
  <c r="X29" i="3"/>
  <c r="Z29" i="3"/>
  <c r="AA29" i="3"/>
  <c r="AB29" i="3"/>
  <c r="AC29" i="3"/>
  <c r="AD29" i="3"/>
  <c r="AE29" i="3"/>
  <c r="AI29" i="3"/>
  <c r="AJ29" i="3"/>
  <c r="AM29" i="3"/>
  <c r="AN29" i="3"/>
  <c r="AQ29" i="3"/>
  <c r="AR29" i="3"/>
  <c r="AS29" i="3"/>
  <c r="AW29" i="3"/>
  <c r="AX29" i="3"/>
  <c r="B28" i="3"/>
  <c r="C28" i="3"/>
  <c r="E28" i="3"/>
  <c r="F28" i="3"/>
  <c r="G28" i="3"/>
  <c r="H28" i="3"/>
  <c r="I28" i="3"/>
  <c r="N28" i="3"/>
  <c r="O28" i="3"/>
  <c r="P28" i="3"/>
  <c r="Q28" i="3"/>
  <c r="R28" i="3"/>
  <c r="S28" i="3"/>
  <c r="W28" i="3"/>
  <c r="X28" i="3"/>
  <c r="Z28" i="3"/>
  <c r="AA28" i="3"/>
  <c r="AB28" i="3"/>
  <c r="AC28" i="3"/>
  <c r="AD28" i="3"/>
  <c r="AE28" i="3"/>
  <c r="AI28" i="3"/>
  <c r="AJ28" i="3"/>
  <c r="AM28" i="3"/>
  <c r="AN28" i="3"/>
  <c r="AQ28" i="3"/>
  <c r="AR28" i="3"/>
  <c r="AS28" i="3"/>
  <c r="AW28" i="3"/>
  <c r="AX28" i="3"/>
  <c r="B27" i="3"/>
  <c r="C27" i="3"/>
  <c r="E27" i="3"/>
  <c r="F27" i="3"/>
  <c r="G27" i="3"/>
  <c r="H27" i="3"/>
  <c r="I27" i="3"/>
  <c r="N27" i="3"/>
  <c r="O27" i="3"/>
  <c r="P27" i="3"/>
  <c r="Q27" i="3"/>
  <c r="R27" i="3"/>
  <c r="S27" i="3"/>
  <c r="W27" i="3"/>
  <c r="X27" i="3"/>
  <c r="Z27" i="3"/>
  <c r="AA27" i="3"/>
  <c r="AB27" i="3"/>
  <c r="AC27" i="3"/>
  <c r="AD27" i="3"/>
  <c r="AE27" i="3"/>
  <c r="AI27" i="3"/>
  <c r="AJ27" i="3"/>
  <c r="AM27" i="3"/>
  <c r="AN27" i="3"/>
  <c r="AQ27" i="3"/>
  <c r="AR27" i="3"/>
  <c r="AS27" i="3"/>
  <c r="AW27" i="3"/>
  <c r="AX27" i="3"/>
  <c r="B26" i="3"/>
  <c r="C26" i="3"/>
  <c r="E26" i="3"/>
  <c r="F26" i="3"/>
  <c r="G26" i="3"/>
  <c r="H26" i="3"/>
  <c r="I26" i="3"/>
  <c r="N26" i="3"/>
  <c r="O26" i="3"/>
  <c r="P26" i="3"/>
  <c r="Q26" i="3"/>
  <c r="R26" i="3"/>
  <c r="S26" i="3"/>
  <c r="W26" i="3"/>
  <c r="X26" i="3"/>
  <c r="Z26" i="3"/>
  <c r="AA26" i="3"/>
  <c r="AB26" i="3"/>
  <c r="AC26" i="3"/>
  <c r="AD26" i="3"/>
  <c r="AE26" i="3"/>
  <c r="AI26" i="3"/>
  <c r="AJ26" i="3"/>
  <c r="AM26" i="3"/>
  <c r="AN26" i="3"/>
  <c r="AQ26" i="3"/>
  <c r="AR26" i="3"/>
  <c r="AS26" i="3"/>
  <c r="AW26" i="3"/>
  <c r="AX26" i="3"/>
  <c r="B25" i="3"/>
  <c r="C25" i="3"/>
  <c r="E25" i="3"/>
  <c r="F25" i="3"/>
  <c r="G25" i="3"/>
  <c r="H25" i="3"/>
  <c r="I25" i="3"/>
  <c r="N25" i="3"/>
  <c r="O25" i="3"/>
  <c r="P25" i="3"/>
  <c r="Q25" i="3"/>
  <c r="R25" i="3"/>
  <c r="S25" i="3"/>
  <c r="W25" i="3"/>
  <c r="X25" i="3"/>
  <c r="Z25" i="3"/>
  <c r="AA25" i="3"/>
  <c r="AB25" i="3"/>
  <c r="AC25" i="3"/>
  <c r="AD25" i="3"/>
  <c r="AE25" i="3"/>
  <c r="AI25" i="3"/>
  <c r="AJ25" i="3"/>
  <c r="AM25" i="3"/>
  <c r="AN25" i="3"/>
  <c r="AQ25" i="3"/>
  <c r="AR25" i="3"/>
  <c r="AS25" i="3"/>
  <c r="AW25" i="3"/>
  <c r="AX25" i="3"/>
  <c r="A31" i="3"/>
  <c r="A30" i="3"/>
  <c r="A29" i="3"/>
  <c r="A28" i="3"/>
  <c r="A27" i="3"/>
  <c r="A26" i="3"/>
  <c r="A25" i="3"/>
  <c r="AT3" i="3"/>
  <c r="AV3" i="3" s="1"/>
  <c r="AT4" i="3"/>
  <c r="AV4" i="3" s="1"/>
  <c r="AT5" i="3"/>
  <c r="AV5" i="3" s="1"/>
  <c r="AT6" i="3"/>
  <c r="AV6" i="3" s="1"/>
  <c r="AT7" i="3"/>
  <c r="AV7" i="3" s="1"/>
  <c r="AT8" i="3"/>
  <c r="AV8" i="3" s="1"/>
  <c r="AT9" i="3"/>
  <c r="AV9" i="3" s="1"/>
  <c r="AT10" i="3"/>
  <c r="AV10" i="3" s="1"/>
  <c r="AT11" i="3"/>
  <c r="AV11" i="3" s="1"/>
  <c r="AT12" i="3"/>
  <c r="AV12" i="3" s="1"/>
  <c r="AT13" i="3"/>
  <c r="AV13" i="3" s="1"/>
  <c r="AT14" i="3"/>
  <c r="AV14" i="3" s="1"/>
  <c r="AT15" i="3"/>
  <c r="AV15" i="3" s="1"/>
  <c r="AT16" i="3"/>
  <c r="AV16" i="3" s="1"/>
  <c r="AT17" i="3"/>
  <c r="AV17" i="3" s="1"/>
  <c r="AT18" i="3"/>
  <c r="AV18" i="3" s="1"/>
  <c r="AT19" i="3"/>
  <c r="AV19" i="3" s="1"/>
  <c r="AT20" i="3"/>
  <c r="AV20" i="3" s="1"/>
  <c r="AT21" i="3"/>
  <c r="AV21" i="3" s="1"/>
  <c r="AT22" i="3"/>
  <c r="AV22" i="3" s="1"/>
  <c r="AT2" i="3"/>
  <c r="AV2" i="3" s="1"/>
  <c r="AF3" i="3"/>
  <c r="AH3" i="3" s="1"/>
  <c r="AF4" i="3"/>
  <c r="AH4" i="3" s="1"/>
  <c r="AF5" i="3"/>
  <c r="AH5" i="3" s="1"/>
  <c r="AF6" i="3"/>
  <c r="AH6" i="3" s="1"/>
  <c r="AF7" i="3"/>
  <c r="AH7" i="3" s="1"/>
  <c r="AF8" i="3"/>
  <c r="AH8" i="3" s="1"/>
  <c r="AH27" i="3" s="1"/>
  <c r="AF9" i="3"/>
  <c r="AH9" i="3" s="1"/>
  <c r="AF10" i="3"/>
  <c r="AF11" i="3"/>
  <c r="AF12" i="3"/>
  <c r="AH12" i="3" s="1"/>
  <c r="AF13" i="3"/>
  <c r="AH13" i="3" s="1"/>
  <c r="AF14" i="3"/>
  <c r="AH14" i="3" s="1"/>
  <c r="AF15" i="3"/>
  <c r="AH15" i="3" s="1"/>
  <c r="AF16" i="3"/>
  <c r="AH16" i="3" s="1"/>
  <c r="AF17" i="3"/>
  <c r="AH17" i="3" s="1"/>
  <c r="AH30" i="3" s="1"/>
  <c r="AF18" i="3"/>
  <c r="AH18" i="3" s="1"/>
  <c r="AF19" i="3"/>
  <c r="AH19" i="3" s="1"/>
  <c r="AF20" i="3"/>
  <c r="AH20" i="3" s="1"/>
  <c r="AF21" i="3"/>
  <c r="AH21" i="3" s="1"/>
  <c r="AF22" i="3"/>
  <c r="AH22" i="3" s="1"/>
  <c r="AF2" i="3"/>
  <c r="T3" i="3"/>
  <c r="V3" i="3" s="1"/>
  <c r="T4" i="3"/>
  <c r="T5" i="3"/>
  <c r="T6" i="3"/>
  <c r="V6" i="3" s="1"/>
  <c r="T7" i="3"/>
  <c r="V7" i="3" s="1"/>
  <c r="T8" i="3"/>
  <c r="V8" i="3" s="1"/>
  <c r="T9" i="3"/>
  <c r="V9" i="3" s="1"/>
  <c r="T10" i="3"/>
  <c r="V10" i="3" s="1"/>
  <c r="T11" i="3"/>
  <c r="V11" i="3" s="1"/>
  <c r="T12" i="3"/>
  <c r="V12" i="3" s="1"/>
  <c r="T13" i="3"/>
  <c r="V13" i="3" s="1"/>
  <c r="T14" i="3"/>
  <c r="V14" i="3" s="1"/>
  <c r="T15" i="3"/>
  <c r="V15" i="3" s="1"/>
  <c r="T16" i="3"/>
  <c r="V16" i="3" s="1"/>
  <c r="T17" i="3"/>
  <c r="V17" i="3" s="1"/>
  <c r="T18" i="3"/>
  <c r="V18" i="3" s="1"/>
  <c r="T19" i="3"/>
  <c r="V19" i="3" s="1"/>
  <c r="T20" i="3"/>
  <c r="V20" i="3" s="1"/>
  <c r="T21" i="3"/>
  <c r="V21" i="3" s="1"/>
  <c r="T22" i="3"/>
  <c r="V22" i="3" s="1"/>
  <c r="T2" i="3"/>
  <c r="V2" i="3" s="1"/>
  <c r="V25" i="3" s="1"/>
  <c r="J3" i="3"/>
  <c r="J4" i="3"/>
  <c r="L4" i="3" s="1"/>
  <c r="J5" i="3"/>
  <c r="L5" i="3" s="1"/>
  <c r="J6" i="3"/>
  <c r="L6" i="3" s="1"/>
  <c r="J7" i="3"/>
  <c r="L7" i="3" s="1"/>
  <c r="J8" i="3"/>
  <c r="L8" i="3" s="1"/>
  <c r="J9" i="3"/>
  <c r="L9" i="3" s="1"/>
  <c r="J10" i="3"/>
  <c r="L10" i="3" s="1"/>
  <c r="J11" i="3"/>
  <c r="J12" i="3"/>
  <c r="L12" i="3" s="1"/>
  <c r="J13" i="3"/>
  <c r="L13" i="3" s="1"/>
  <c r="J14" i="3"/>
  <c r="L14" i="3" s="1"/>
  <c r="J15" i="3"/>
  <c r="J16" i="3"/>
  <c r="L16" i="3" s="1"/>
  <c r="J17" i="3"/>
  <c r="L17" i="3" s="1"/>
  <c r="J18" i="3"/>
  <c r="L18" i="3" s="1"/>
  <c r="J19" i="3"/>
  <c r="L19" i="3" s="1"/>
  <c r="J20" i="3"/>
  <c r="L20" i="3" s="1"/>
  <c r="J21" i="3"/>
  <c r="L21" i="3" s="1"/>
  <c r="J22" i="3"/>
  <c r="L22" i="3" s="1"/>
  <c r="J2" i="3"/>
  <c r="L2" i="3" s="1"/>
  <c r="L25" i="3" s="1"/>
  <c r="CI12" i="5" l="1"/>
  <c r="CZ20" i="5"/>
  <c r="CC4" i="5"/>
  <c r="AZ19" i="5"/>
  <c r="CV2" i="5"/>
  <c r="CV19" i="5" s="1"/>
  <c r="CN13" i="5"/>
  <c r="CN22" i="5" s="1"/>
  <c r="CV5" i="5"/>
  <c r="CV20" i="5" s="1"/>
  <c r="CN10" i="5"/>
  <c r="CZ23" i="5"/>
  <c r="AL19" i="5"/>
  <c r="CZ19" i="5"/>
  <c r="CS3" i="3"/>
  <c r="CI7" i="3"/>
  <c r="CI17" i="3"/>
  <c r="CS12" i="3"/>
  <c r="BW8" i="3"/>
  <c r="CI9" i="3"/>
  <c r="CS11" i="3"/>
  <c r="CS28" i="3" s="1"/>
  <c r="CB16" i="3"/>
  <c r="CI8" i="3"/>
  <c r="CS4" i="3"/>
  <c r="CV3" i="5"/>
  <c r="CN16" i="5"/>
  <c r="CQ19" i="5"/>
  <c r="CO23" i="5"/>
  <c r="CC10" i="5"/>
  <c r="CV12" i="5"/>
  <c r="CV22" i="5" s="1"/>
  <c r="CP19" i="5"/>
  <c r="CQ20" i="5"/>
  <c r="CT22" i="5"/>
  <c r="CI15" i="5"/>
  <c r="CN8" i="5"/>
  <c r="CQ22" i="5"/>
  <c r="AL23" i="5"/>
  <c r="CO20" i="5"/>
  <c r="CP21" i="5"/>
  <c r="CQ21" i="5"/>
  <c r="CT20" i="5"/>
  <c r="CV11" i="5"/>
  <c r="CN9" i="5"/>
  <c r="CO21" i="5"/>
  <c r="CR23" i="5"/>
  <c r="CR20" i="5"/>
  <c r="CT21" i="5"/>
  <c r="CC16" i="5"/>
  <c r="CC23" i="5" s="1"/>
  <c r="CI14" i="5"/>
  <c r="CW20" i="5"/>
  <c r="CC13" i="5"/>
  <c r="CC22" i="5" s="1"/>
  <c r="CS23" i="5"/>
  <c r="CW22" i="5"/>
  <c r="CS20" i="5"/>
  <c r="CY23" i="5"/>
  <c r="CY20" i="5"/>
  <c r="CN19" i="5"/>
  <c r="AL21" i="5"/>
  <c r="CR19" i="5"/>
  <c r="CO22" i="5"/>
  <c r="CO19" i="5"/>
  <c r="CP23" i="5"/>
  <c r="CR22" i="5"/>
  <c r="CT23" i="5"/>
  <c r="CC8" i="5"/>
  <c r="CI6" i="5"/>
  <c r="AZ21" i="5"/>
  <c r="AZ22" i="5"/>
  <c r="CP22" i="5"/>
  <c r="CP20" i="5"/>
  <c r="CQ23" i="5"/>
  <c r="CS22" i="5"/>
  <c r="CS19" i="5"/>
  <c r="CS21" i="5"/>
  <c r="CN15" i="5"/>
  <c r="CW21" i="5"/>
  <c r="CY21" i="5"/>
  <c r="CW19" i="5"/>
  <c r="BI22" i="5"/>
  <c r="CX20" i="5"/>
  <c r="AL20" i="5"/>
  <c r="CN7" i="5"/>
  <c r="CN14" i="5"/>
  <c r="CX22" i="5"/>
  <c r="CX19" i="5"/>
  <c r="CZ21" i="5"/>
  <c r="CX23" i="5"/>
  <c r="CR21" i="5"/>
  <c r="CV14" i="5"/>
  <c r="CV23" i="5" s="1"/>
  <c r="CX21" i="5"/>
  <c r="CC5" i="5"/>
  <c r="CT19" i="5"/>
  <c r="CC7" i="5"/>
  <c r="BI23" i="5"/>
  <c r="CW23" i="5"/>
  <c r="CK5" i="3"/>
  <c r="CI3" i="3"/>
  <c r="AL25" i="3"/>
  <c r="AL30" i="3"/>
  <c r="CK15" i="3"/>
  <c r="CI19" i="3"/>
  <c r="CT28" i="3"/>
  <c r="AL29" i="3"/>
  <c r="BW19" i="3"/>
  <c r="CB4" i="3"/>
  <c r="CK14" i="3"/>
  <c r="CK29" i="3" s="1"/>
  <c r="CI18" i="3"/>
  <c r="CU25" i="3"/>
  <c r="CV31" i="3"/>
  <c r="CW29" i="3"/>
  <c r="CQ30" i="3"/>
  <c r="CP29" i="3"/>
  <c r="BW2" i="3"/>
  <c r="CK10" i="3"/>
  <c r="CI11" i="3"/>
  <c r="CQ25" i="3"/>
  <c r="BW3" i="3"/>
  <c r="CB10" i="3"/>
  <c r="CB27" i="3" s="1"/>
  <c r="CI2" i="3"/>
  <c r="BW18" i="3"/>
  <c r="CT25" i="3"/>
  <c r="CT29" i="3"/>
  <c r="CP25" i="3"/>
  <c r="CI20" i="3"/>
  <c r="CB15" i="3"/>
  <c r="CI4" i="3"/>
  <c r="CW25" i="3"/>
  <c r="BW20" i="3"/>
  <c r="BW31" i="3" s="1"/>
  <c r="BW12" i="3"/>
  <c r="BW28" i="3" s="1"/>
  <c r="CK7" i="3"/>
  <c r="CK26" i="3" s="1"/>
  <c r="CI12" i="3"/>
  <c r="CB7" i="3"/>
  <c r="CS2" i="3"/>
  <c r="CS25" i="3" s="1"/>
  <c r="CP27" i="3"/>
  <c r="CK18" i="3"/>
  <c r="CI16" i="3"/>
  <c r="BW6" i="3"/>
  <c r="CI15" i="3"/>
  <c r="CV25" i="3"/>
  <c r="CW30" i="3"/>
  <c r="CW27" i="3"/>
  <c r="CQ31" i="3"/>
  <c r="CQ28" i="3"/>
  <c r="CP30" i="3"/>
  <c r="CT27" i="3"/>
  <c r="CQ27" i="3"/>
  <c r="CK17" i="3"/>
  <c r="CQ29" i="3"/>
  <c r="CB22" i="3"/>
  <c r="CW28" i="3"/>
  <c r="CU28" i="3"/>
  <c r="CQ26" i="3"/>
  <c r="CM26" i="3"/>
  <c r="CU30" i="3"/>
  <c r="CV29" i="3"/>
  <c r="CT30" i="3"/>
  <c r="CU29" i="3"/>
  <c r="CV28" i="3"/>
  <c r="CW26" i="3"/>
  <c r="CP31" i="3"/>
  <c r="CP26" i="3"/>
  <c r="CB14" i="3"/>
  <c r="CB29" i="3" s="1"/>
  <c r="CU26" i="3"/>
  <c r="CW31" i="3"/>
  <c r="CU31" i="3"/>
  <c r="CV30" i="3"/>
  <c r="CP28" i="3"/>
  <c r="AL27" i="3"/>
  <c r="CV27" i="3"/>
  <c r="BW14" i="3"/>
  <c r="BW29" i="3" s="1"/>
  <c r="CU27" i="3"/>
  <c r="CV26" i="3"/>
  <c r="AL31" i="3"/>
  <c r="CB21" i="3"/>
  <c r="CB13" i="3"/>
  <c r="CB28" i="3" s="1"/>
  <c r="CB5" i="3"/>
  <c r="CI21" i="3"/>
  <c r="CI13" i="3"/>
  <c r="CO29" i="3"/>
  <c r="AL28" i="3"/>
  <c r="CS16" i="3"/>
  <c r="CS29" i="3" s="1"/>
  <c r="CK8" i="3"/>
  <c r="CO28" i="3"/>
  <c r="CV21" i="5"/>
  <c r="CN6" i="5"/>
  <c r="AZ20" i="5"/>
  <c r="AL22" i="5"/>
  <c r="CI7" i="5"/>
  <c r="CC2" i="5"/>
  <c r="CI2" i="5"/>
  <c r="CI19" i="5" s="1"/>
  <c r="CS31" i="3"/>
  <c r="CK21" i="3"/>
  <c r="CK31" i="3" s="1"/>
  <c r="CS30" i="3"/>
  <c r="CS27" i="3"/>
  <c r="CS26" i="3"/>
  <c r="BW10" i="3"/>
  <c r="BW5" i="3"/>
  <c r="AL26" i="3"/>
  <c r="BH23" i="5"/>
  <c r="BJ23" i="5"/>
  <c r="BH22" i="5"/>
  <c r="BJ11" i="5"/>
  <c r="BJ22" i="5" s="1"/>
  <c r="BI21" i="5"/>
  <c r="BJ21" i="5"/>
  <c r="BH21" i="5"/>
  <c r="BI20" i="5"/>
  <c r="BH20" i="5"/>
  <c r="BI19" i="5"/>
  <c r="BJ19" i="5"/>
  <c r="BH19" i="5"/>
  <c r="CL7" i="5"/>
  <c r="CL15" i="5"/>
  <c r="CL2" i="5"/>
  <c r="CL10" i="5"/>
  <c r="CF22" i="5"/>
  <c r="CJ22" i="5"/>
  <c r="CK20" i="5"/>
  <c r="CL5" i="5"/>
  <c r="CL13" i="5"/>
  <c r="CL16" i="5"/>
  <c r="CI21" i="5"/>
  <c r="CK19" i="5"/>
  <c r="CF20" i="5"/>
  <c r="CI22" i="5"/>
  <c r="CJ20" i="5"/>
  <c r="CL4" i="5"/>
  <c r="CL12" i="5"/>
  <c r="CK23" i="5"/>
  <c r="BX26" i="5"/>
  <c r="BZ26" i="5"/>
  <c r="CI23" i="5"/>
  <c r="CJ21" i="5"/>
  <c r="CL6" i="5"/>
  <c r="CL14" i="5"/>
  <c r="BZ19" i="5"/>
  <c r="CL8" i="5"/>
  <c r="CF21" i="5"/>
  <c r="CK22" i="5"/>
  <c r="CL3" i="5"/>
  <c r="CL11" i="5"/>
  <c r="CL9" i="5"/>
  <c r="CF23" i="5"/>
  <c r="CJ23" i="5"/>
  <c r="CK21" i="5"/>
  <c r="CF19" i="5"/>
  <c r="CJ19" i="5"/>
  <c r="CN26" i="3"/>
  <c r="CL27" i="3"/>
  <c r="CN29" i="3"/>
  <c r="CN31" i="3"/>
  <c r="CO30" i="3"/>
  <c r="CO27" i="3"/>
  <c r="CN28" i="3"/>
  <c r="BP33" i="3"/>
  <c r="CN30" i="3"/>
  <c r="CO26" i="3"/>
  <c r="CN27" i="3"/>
  <c r="CO31" i="3"/>
  <c r="CN25" i="3"/>
  <c r="BY33" i="3"/>
  <c r="CO25" i="3"/>
  <c r="CL28" i="3"/>
  <c r="CL25" i="3"/>
  <c r="CM29" i="3"/>
  <c r="CM27" i="3"/>
  <c r="CM31" i="3"/>
  <c r="CL31" i="3"/>
  <c r="CL30" i="3"/>
  <c r="CK28" i="3"/>
  <c r="CL29" i="3"/>
  <c r="CL26" i="3"/>
  <c r="CM28" i="3"/>
  <c r="CM30" i="3"/>
  <c r="CM25" i="3"/>
  <c r="CK25" i="3"/>
  <c r="CG22" i="3"/>
  <c r="CG6" i="3"/>
  <c r="BW27" i="3"/>
  <c r="CG4" i="3"/>
  <c r="BS26" i="3"/>
  <c r="CC28" i="3"/>
  <c r="BP30" i="3"/>
  <c r="CG9" i="3"/>
  <c r="BQ29" i="3"/>
  <c r="BR28" i="3"/>
  <c r="BS27" i="3"/>
  <c r="BX25" i="3"/>
  <c r="CB30" i="3"/>
  <c r="CC29" i="3"/>
  <c r="CD28" i="3"/>
  <c r="BY29" i="3"/>
  <c r="CG16" i="3"/>
  <c r="BQ28" i="3"/>
  <c r="BS25" i="3"/>
  <c r="BY25" i="3"/>
  <c r="CC26" i="3"/>
  <c r="BQ27" i="3"/>
  <c r="BR26" i="3"/>
  <c r="BX30" i="3"/>
  <c r="CC27" i="3"/>
  <c r="CD26" i="3"/>
  <c r="BO25" i="3"/>
  <c r="BP25" i="3"/>
  <c r="CG15" i="3"/>
  <c r="CG7" i="3"/>
  <c r="BO27" i="3"/>
  <c r="BP27" i="3"/>
  <c r="BT31" i="3"/>
  <c r="BW30" i="3"/>
  <c r="K29" i="3"/>
  <c r="BQ31" i="3"/>
  <c r="BS29" i="3"/>
  <c r="BT28" i="3"/>
  <c r="CC31" i="3"/>
  <c r="CD30" i="3"/>
  <c r="BP29" i="3"/>
  <c r="BR27" i="3"/>
  <c r="BX31" i="3"/>
  <c r="BY30" i="3"/>
  <c r="CD27" i="3"/>
  <c r="BO30" i="3"/>
  <c r="CG21" i="3"/>
  <c r="CG13" i="3"/>
  <c r="CG5" i="3"/>
  <c r="BR25" i="3"/>
  <c r="BS31" i="3"/>
  <c r="BT30" i="3"/>
  <c r="BX28" i="3"/>
  <c r="BY27" i="3"/>
  <c r="CC30" i="3"/>
  <c r="CD25" i="3"/>
  <c r="CF29" i="3"/>
  <c r="BX29" i="3"/>
  <c r="BR30" i="3"/>
  <c r="BX26" i="3"/>
  <c r="AH31" i="3"/>
  <c r="BO29" i="3"/>
  <c r="BP31" i="3"/>
  <c r="CG12" i="3"/>
  <c r="BQ30" i="3"/>
  <c r="BR29" i="3"/>
  <c r="BS28" i="3"/>
  <c r="BT27" i="3"/>
  <c r="CD29" i="3"/>
  <c r="CF31" i="3"/>
  <c r="CF26" i="3"/>
  <c r="BO28" i="3"/>
  <c r="BY28" i="3"/>
  <c r="CF27" i="3"/>
  <c r="CG19" i="3"/>
  <c r="CG11" i="3"/>
  <c r="CG3" i="3"/>
  <c r="BT25" i="3"/>
  <c r="BY31" i="3"/>
  <c r="CB25" i="3"/>
  <c r="BO31" i="3"/>
  <c r="BO26" i="3"/>
  <c r="CG18" i="3"/>
  <c r="CG10" i="3"/>
  <c r="BQ25" i="3"/>
  <c r="BQ26" i="3"/>
  <c r="BR31" i="3"/>
  <c r="BS30" i="3"/>
  <c r="BT29" i="3"/>
  <c r="BT26" i="3"/>
  <c r="BX27" i="3"/>
  <c r="BY26" i="3"/>
  <c r="CC25" i="3"/>
  <c r="CD31" i="3"/>
  <c r="CF25" i="3"/>
  <c r="BZ22" i="5"/>
  <c r="CF28" i="3"/>
  <c r="CG17" i="3"/>
  <c r="CG8" i="3"/>
  <c r="BP26" i="3"/>
  <c r="BP28" i="3"/>
  <c r="CG2" i="3"/>
  <c r="CF30" i="3"/>
  <c r="CG14" i="3"/>
  <c r="CG20" i="3"/>
  <c r="BY20" i="5"/>
  <c r="BZ21" i="5"/>
  <c r="CG10" i="5"/>
  <c r="BY19" i="5"/>
  <c r="BZ23" i="5"/>
  <c r="BZ20" i="5"/>
  <c r="BY22" i="5"/>
  <c r="BY21" i="5"/>
  <c r="BY23" i="5"/>
  <c r="CG3" i="5"/>
  <c r="CG5" i="5"/>
  <c r="CG7" i="5"/>
  <c r="CG9" i="5"/>
  <c r="CG11" i="5"/>
  <c r="CG13" i="5"/>
  <c r="CG15" i="5"/>
  <c r="CG16" i="5"/>
  <c r="CG2" i="5"/>
  <c r="CG4" i="5"/>
  <c r="CG6" i="5"/>
  <c r="CG8" i="5"/>
  <c r="CG12" i="5"/>
  <c r="CG14" i="5"/>
  <c r="BR19" i="5"/>
  <c r="AG22" i="5"/>
  <c r="AT19" i="5"/>
  <c r="AG23" i="5"/>
  <c r="BT23" i="5"/>
  <c r="AF21" i="5"/>
  <c r="BP19" i="5"/>
  <c r="CE21" i="5"/>
  <c r="AU23" i="5"/>
  <c r="K23" i="5"/>
  <c r="AT23" i="5"/>
  <c r="CE23" i="5"/>
  <c r="U23" i="5"/>
  <c r="BX23" i="5"/>
  <c r="BP23" i="5"/>
  <c r="BR23" i="5"/>
  <c r="AV23" i="5"/>
  <c r="AT22" i="5"/>
  <c r="AU22" i="5"/>
  <c r="T22" i="5"/>
  <c r="U22" i="5"/>
  <c r="BX22" i="5"/>
  <c r="K22" i="5"/>
  <c r="BP22" i="5"/>
  <c r="BR22" i="5"/>
  <c r="BT22" i="5"/>
  <c r="V11" i="5"/>
  <c r="V22" i="5" s="1"/>
  <c r="K21" i="5"/>
  <c r="AU21" i="5"/>
  <c r="AT21" i="5"/>
  <c r="BT21" i="5"/>
  <c r="AG21" i="5"/>
  <c r="U21" i="5"/>
  <c r="BX21" i="5"/>
  <c r="BP21" i="5"/>
  <c r="BR21" i="5"/>
  <c r="AV21" i="5"/>
  <c r="AU20" i="5"/>
  <c r="BV20" i="5"/>
  <c r="T20" i="5"/>
  <c r="BX20" i="5"/>
  <c r="AT20" i="5"/>
  <c r="AF20" i="5"/>
  <c r="AG20" i="5"/>
  <c r="U20" i="5"/>
  <c r="BO20" i="5"/>
  <c r="BP20" i="5"/>
  <c r="J20" i="5"/>
  <c r="K20" i="5"/>
  <c r="BR20" i="5"/>
  <c r="BT20" i="5"/>
  <c r="AU19" i="5"/>
  <c r="AG19" i="5"/>
  <c r="U19" i="5"/>
  <c r="CE19" i="5"/>
  <c r="BX19" i="5"/>
  <c r="J19" i="5"/>
  <c r="K19" i="5"/>
  <c r="BT19" i="5"/>
  <c r="CD19" i="5"/>
  <c r="AV22" i="5"/>
  <c r="AV19" i="5"/>
  <c r="CD22" i="5"/>
  <c r="AV20" i="5"/>
  <c r="BW20" i="5"/>
  <c r="BQ19" i="5"/>
  <c r="BV21" i="5"/>
  <c r="AF23" i="5"/>
  <c r="AF22" i="5"/>
  <c r="AF19" i="5"/>
  <c r="BV22" i="5"/>
  <c r="BV23" i="5"/>
  <c r="BV19" i="5"/>
  <c r="CE22" i="5"/>
  <c r="BW19" i="5"/>
  <c r="CE20" i="5"/>
  <c r="BW21" i="5"/>
  <c r="T23" i="5"/>
  <c r="T19" i="5"/>
  <c r="T21" i="5"/>
  <c r="BO21" i="5"/>
  <c r="V5" i="5"/>
  <c r="V20" i="5" s="1"/>
  <c r="V14" i="5"/>
  <c r="V23" i="5" s="1"/>
  <c r="CD23" i="5"/>
  <c r="CD20" i="5"/>
  <c r="BW23" i="5"/>
  <c r="V2" i="5"/>
  <c r="V19" i="5" s="1"/>
  <c r="V8" i="5"/>
  <c r="V21" i="5" s="1"/>
  <c r="CD21" i="5"/>
  <c r="BW22" i="5"/>
  <c r="J21" i="5"/>
  <c r="BO19" i="5"/>
  <c r="BS23" i="5"/>
  <c r="BO22" i="5"/>
  <c r="BS20" i="5"/>
  <c r="L8" i="5"/>
  <c r="L21" i="5" s="1"/>
  <c r="BQ22" i="5"/>
  <c r="J23" i="5"/>
  <c r="BQ23" i="5"/>
  <c r="BS21" i="5"/>
  <c r="L2" i="5"/>
  <c r="L19" i="5" s="1"/>
  <c r="BQ20" i="5"/>
  <c r="BS22" i="5"/>
  <c r="L23" i="5"/>
  <c r="L22" i="5"/>
  <c r="BS19" i="5"/>
  <c r="L5" i="5"/>
  <c r="L20" i="5" s="1"/>
  <c r="BQ21" i="5"/>
  <c r="J22" i="5"/>
  <c r="BO23" i="5"/>
  <c r="AH2" i="5"/>
  <c r="AH19" i="5" s="1"/>
  <c r="AH5" i="5"/>
  <c r="AH20" i="5" s="1"/>
  <c r="AH8" i="5"/>
  <c r="AH21" i="5" s="1"/>
  <c r="AH11" i="5"/>
  <c r="AH22" i="5" s="1"/>
  <c r="AH14" i="5"/>
  <c r="AH23" i="5" s="1"/>
  <c r="AU26" i="3"/>
  <c r="AG28" i="3"/>
  <c r="AG25" i="3"/>
  <c r="AT30" i="3"/>
  <c r="AF27" i="3"/>
  <c r="AT26" i="3"/>
  <c r="AG30" i="3"/>
  <c r="AG27" i="3"/>
  <c r="K26" i="3"/>
  <c r="AT31" i="3"/>
  <c r="AU28" i="3"/>
  <c r="AT25" i="3"/>
  <c r="T25" i="3"/>
  <c r="AT29" i="3"/>
  <c r="K31" i="3"/>
  <c r="K28" i="3"/>
  <c r="K25" i="3"/>
  <c r="AU29" i="3"/>
  <c r="AV28" i="3"/>
  <c r="T26" i="3"/>
  <c r="AF25" i="3"/>
  <c r="AT28" i="3"/>
  <c r="K27" i="3"/>
  <c r="AU31" i="3"/>
  <c r="V31" i="3"/>
  <c r="J31" i="3"/>
  <c r="K30" i="3"/>
  <c r="J29" i="3"/>
  <c r="AH2" i="3"/>
  <c r="AH25" i="3" s="1"/>
  <c r="AG29" i="3"/>
  <c r="AG26" i="3"/>
  <c r="V30" i="3"/>
  <c r="V27" i="3"/>
  <c r="AH29" i="3"/>
  <c r="U30" i="3"/>
  <c r="J28" i="3"/>
  <c r="J25" i="3"/>
  <c r="AT27" i="3"/>
  <c r="V5" i="3"/>
  <c r="V26" i="3" s="1"/>
  <c r="T28" i="3"/>
  <c r="AF30" i="3"/>
  <c r="J26" i="3"/>
  <c r="L30" i="3"/>
  <c r="AF28" i="3"/>
  <c r="L15" i="3"/>
  <c r="L29" i="3" s="1"/>
  <c r="V28" i="3"/>
  <c r="AH26" i="3"/>
  <c r="L27" i="3"/>
  <c r="V29" i="3"/>
  <c r="AF31" i="3"/>
  <c r="AV26" i="3"/>
  <c r="AH11" i="3"/>
  <c r="AH28" i="3" s="1"/>
  <c r="AU25" i="3"/>
  <c r="AF29" i="3"/>
  <c r="AU30" i="3"/>
  <c r="AH10" i="3"/>
  <c r="V4" i="3"/>
  <c r="U27" i="3"/>
  <c r="T31" i="3"/>
  <c r="L31" i="3"/>
  <c r="T29" i="3"/>
  <c r="U26" i="3"/>
  <c r="AF26" i="3"/>
  <c r="T27" i="3"/>
  <c r="T30" i="3"/>
  <c r="AG31" i="3"/>
  <c r="L11" i="3"/>
  <c r="L28" i="3" s="1"/>
  <c r="L3" i="3"/>
  <c r="AV30" i="3"/>
  <c r="U31" i="3"/>
  <c r="AU27" i="3"/>
  <c r="L26" i="3"/>
  <c r="J27" i="3"/>
  <c r="J30" i="3"/>
  <c r="AV29" i="3"/>
  <c r="AV27" i="3"/>
  <c r="U28" i="3"/>
  <c r="U25" i="3"/>
  <c r="AV31" i="3"/>
  <c r="U29" i="3"/>
  <c r="AV25" i="3"/>
  <c r="CN20" i="5" l="1"/>
  <c r="CN21" i="5"/>
  <c r="CC20" i="5"/>
  <c r="CI20" i="5"/>
  <c r="CN23" i="5"/>
  <c r="CC19" i="5"/>
  <c r="CC21" i="5"/>
  <c r="CK27" i="3"/>
  <c r="CB31" i="3"/>
  <c r="BW25" i="3"/>
  <c r="CK30" i="3"/>
  <c r="CB26" i="3"/>
  <c r="BW26" i="3"/>
  <c r="CL21" i="5"/>
  <c r="CL22" i="5"/>
  <c r="CL23" i="5"/>
  <c r="CL20" i="5"/>
  <c r="CL19" i="5"/>
  <c r="CG22" i="5"/>
  <c r="CG21" i="5"/>
  <c r="CG29" i="3"/>
  <c r="CG26" i="3"/>
  <c r="CG28" i="3"/>
  <c r="CG31" i="3"/>
  <c r="CG27" i="3"/>
  <c r="CG25" i="3"/>
  <c r="CG30" i="3"/>
  <c r="CG20" i="5"/>
  <c r="CG19" i="5"/>
  <c r="CG23" i="5"/>
</calcChain>
</file>

<file path=xl/sharedStrings.xml><?xml version="1.0" encoding="utf-8"?>
<sst xmlns="http://schemas.openxmlformats.org/spreadsheetml/2006/main" count="247" uniqueCount="92">
  <si>
    <t># Vars</t>
  </si>
  <si>
    <t># Prefs</t>
  </si>
  <si>
    <t># Edges</t>
  </si>
  <si>
    <t>MFAS:</t>
  </si>
  <si>
    <t># Edges Rem</t>
  </si>
  <si>
    <t># Prefs Rem</t>
  </si>
  <si>
    <t># Iters</t>
  </si>
  <si>
    <t>Min Prefs:</t>
  </si>
  <si>
    <t>Min Edges:</t>
  </si>
  <si>
    <t>Time (s)</t>
  </si>
  <si>
    <t>Final # Constr</t>
  </si>
  <si>
    <t>Init # Constr</t>
  </si>
  <si>
    <t>Final # Rep Cycs</t>
  </si>
  <si>
    <t>Init # Rep Cycs</t>
  </si>
  <si>
    <t># Diff</t>
  </si>
  <si>
    <t>Cycs Per Iter</t>
  </si>
  <si>
    <t>Init # Cycs</t>
  </si>
  <si>
    <t>Final # Cycs</t>
  </si>
  <si>
    <t># Diff Cycs</t>
  </si>
  <si>
    <t>% Diff</t>
  </si>
  <si>
    <t>% Diff Cycs</t>
  </si>
  <si>
    <t>#Iters</t>
  </si>
  <si>
    <t>Averages</t>
  </si>
  <si>
    <t>by # Prefs</t>
  </si>
  <si>
    <t>Comparisons:</t>
  </si>
  <si>
    <t># Min Prefs</t>
  </si>
  <si>
    <t>% Min Prefs</t>
  </si>
  <si>
    <t># Min Edges</t>
  </si>
  <si>
    <t>% Min Edges</t>
  </si>
  <si>
    <t>MFAS w/:</t>
  </si>
  <si>
    <t>% Time (E/P)</t>
  </si>
  <si>
    <t># Prefs Rem (E-P)</t>
  </si>
  <si>
    <t>% Prefs Rem (E/P)</t>
  </si>
  <si>
    <t>Min Pref w/ Min Edge:</t>
  </si>
  <si>
    <t>% Edges Rem (P/B)</t>
  </si>
  <si>
    <t># Edges Rem (P-B)</t>
  </si>
  <si>
    <t>% Time (P/B)</t>
  </si>
  <si>
    <t># Prefs (0 hopefully)</t>
  </si>
  <si>
    <t>% Off From MFAS (P-B)</t>
  </si>
  <si>
    <t># Edges Rem (P-E)</t>
  </si>
  <si>
    <t>% Edges Rem (P/E)</t>
  </si>
  <si>
    <t>% Time (E/B)</t>
  </si>
  <si>
    <t>% Time (B/E)</t>
  </si>
  <si>
    <t># Edges Rem (B-E)</t>
  </si>
  <si>
    <t>% Edges Rem (B/E)</t>
  </si>
  <si>
    <t>% Off From MFAS (B-E)</t>
  </si>
  <si>
    <t>% Edges Rem (B/P)</t>
  </si>
  <si>
    <t># Iterations (E-P)</t>
  </si>
  <si>
    <t># Both (P)</t>
  </si>
  <si>
    <t>% Both (P)</t>
  </si>
  <si>
    <t>Min Pref w/ Both (P):</t>
  </si>
  <si>
    <t>Both Given Prefs:</t>
  </si>
  <si>
    <t>Both Given Edges:</t>
  </si>
  <si>
    <t>Min Pref w/ Both (E):</t>
  </si>
  <si>
    <t>Min Edge w/ Both (P):</t>
  </si>
  <si>
    <t>Min Edge w/ Both (E)</t>
  </si>
  <si>
    <t># Edges (hopefully 0)</t>
  </si>
  <si>
    <t># Prefs (E-B)</t>
  </si>
  <si>
    <t>% Prefs (E/B)</t>
  </si>
  <si>
    <t>% Prefs (B/E)</t>
  </si>
  <si>
    <t># Prefs (B-P)</t>
  </si>
  <si>
    <t>% Prefs Rem (P/B)</t>
  </si>
  <si>
    <t>% Prefs Rem (B/P)</t>
  </si>
  <si>
    <t>Running MP and using</t>
  </si>
  <si>
    <t>Running MD and using</t>
  </si>
  <si>
    <t>to minimize prefs</t>
  </si>
  <si>
    <t>Always in</t>
  </si>
  <si>
    <t xml:space="preserve">terms of </t>
  </si>
  <si>
    <t>edges</t>
  </si>
  <si>
    <t>Comparing MP and MD</t>
  </si>
  <si>
    <t>Comparing MP with</t>
  </si>
  <si>
    <t>MP then MD</t>
  </si>
  <si>
    <t>Comparing MD with</t>
  </si>
  <si>
    <t>MD then MP</t>
  </si>
  <si>
    <t>to minimize edges</t>
  </si>
  <si>
    <t>soln as constraint</t>
  </si>
  <si>
    <t>Min # Edges Rem</t>
  </si>
  <si>
    <t>Max # Edges Rem</t>
  </si>
  <si>
    <t>Min # Prefs Rem</t>
  </si>
  <si>
    <t>Max # Prefs Rem</t>
  </si>
  <si>
    <t>Max/Min</t>
  </si>
  <si>
    <t>MP data</t>
  </si>
  <si>
    <t>MD data</t>
  </si>
  <si>
    <t>Running MP then</t>
  </si>
  <si>
    <t>using soln as constr</t>
  </si>
  <si>
    <t>in MD</t>
  </si>
  <si>
    <t>Running MD then</t>
  </si>
  <si>
    <t>in MP</t>
  </si>
  <si>
    <t>All in terms</t>
  </si>
  <si>
    <t>of edges</t>
  </si>
  <si>
    <t>% Both(P)</t>
  </si>
  <si>
    <t>MP and MD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</si>
</sst>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E1707-EE5F-4661-93DC-9B4D04832DDC}">
  <dimension ref="A1:CW33"/>
  <sheetViews>
    <sheetView tabSelected="1" zoomScale="115" zoomScaleNormal="115" workbookViewId="0">
      <pane ySplit="1" topLeftCell="A2" activePane="bottomLeft" state="frozen"/>
      <selection pane="bottomLeft" activeCell="J13" sqref="J13"/>
    </sheetView>
  </sheetViews>
  <sheetFormatPr defaultRowHeight="14.5" x14ac:dyDescent="0.35"/>
  <cols>
    <col min="4" max="4" width="9.453125" style="3" customWidth="1"/>
    <col min="6" max="6" width="11.08984375" customWidth="1"/>
    <col min="7" max="7" width="6.36328125" customWidth="1"/>
    <col min="8" max="8" width="10" customWidth="1"/>
    <col min="9" max="9" width="11.453125" customWidth="1"/>
    <col min="10" max="11" width="6.08984375" customWidth="1"/>
    <col min="12" max="12" width="12.26953125" customWidth="1"/>
    <col min="13" max="13" width="8.7265625" style="3"/>
    <col min="15" max="15" width="10.453125" customWidth="1"/>
    <col min="16" max="16" width="11.08984375" customWidth="1"/>
    <col min="17" max="17" width="6.36328125" customWidth="1"/>
    <col min="18" max="18" width="12.7265625" customWidth="1"/>
    <col min="19" max="19" width="14.54296875" customWidth="1"/>
    <col min="20" max="20" width="9.90625" customWidth="1"/>
    <col min="21" max="21" width="10.90625" customWidth="1"/>
    <col min="22" max="22" width="11.7265625" customWidth="1"/>
    <col min="23" max="23" width="10.7265625" customWidth="1"/>
    <col min="24" max="24" width="12.08984375" customWidth="1"/>
    <col min="25" max="25" width="9.453125" style="3" customWidth="1"/>
    <col min="27" max="27" width="10.453125" customWidth="1"/>
    <col min="28" max="28" width="11.08984375" customWidth="1"/>
    <col min="29" max="29" width="6.36328125" customWidth="1"/>
    <col min="30" max="30" width="13.453125" customWidth="1"/>
    <col min="31" max="31" width="15" customWidth="1"/>
    <col min="32" max="33" width="11" customWidth="1"/>
    <col min="34" max="34" width="12.08984375" customWidth="1"/>
    <col min="35" max="35" width="11.90625" customWidth="1"/>
    <col min="36" max="36" width="13" customWidth="1"/>
    <col min="37" max="37" width="18.26953125" style="3" customWidth="1"/>
    <col min="39" max="39" width="11.36328125" customWidth="1"/>
    <col min="40" max="40" width="14.1796875" customWidth="1"/>
    <col min="41" max="42" width="14.81640625" customWidth="1"/>
    <col min="44" max="44" width="13.54296875" customWidth="1"/>
    <col min="45" max="45" width="14.90625" customWidth="1"/>
    <col min="46" max="46" width="11.1796875" customWidth="1"/>
    <col min="47" max="47" width="11.08984375" customWidth="1"/>
    <col min="48" max="48" width="11.90625" customWidth="1"/>
    <col min="49" max="49" width="11.7265625" customWidth="1"/>
    <col min="50" max="50" width="12.7265625" customWidth="1"/>
    <col min="51" max="51" width="17.90625" style="3" customWidth="1"/>
    <col min="53" max="53" width="13.54296875" customWidth="1"/>
    <col min="54" max="55" width="13.81640625" customWidth="1"/>
    <col min="56" max="57" width="11.7265625" customWidth="1"/>
    <col min="58" max="58" width="13.36328125" customWidth="1"/>
    <col min="59" max="59" width="14.6328125" customWidth="1"/>
    <col min="60" max="61" width="11.36328125" customWidth="1"/>
    <col min="62" max="63" width="12.1796875" customWidth="1"/>
    <col min="64" max="64" width="12.6328125" customWidth="1"/>
    <col min="65" max="65" width="12.90625" style="3" customWidth="1"/>
    <col min="66" max="66" width="8.7265625" style="3"/>
    <col min="67" max="67" width="9.81640625" customWidth="1"/>
    <col min="68" max="68" width="10.36328125" customWidth="1"/>
    <col min="69" max="69" width="10.6328125" customWidth="1"/>
    <col min="70" max="70" width="11.36328125" customWidth="1"/>
    <col min="74" max="74" width="18.7265625" style="3" customWidth="1"/>
    <col min="75" max="75" width="11.08984375" customWidth="1"/>
    <col min="76" max="76" width="15.453125" customWidth="1"/>
    <col min="77" max="78" width="16.08984375" customWidth="1"/>
    <col min="79" max="79" width="18.81640625" style="3" customWidth="1"/>
    <col min="80" max="80" width="11.90625" customWidth="1"/>
    <col min="81" max="81" width="15.6328125" customWidth="1"/>
    <col min="82" max="83" width="16.54296875" customWidth="1"/>
    <col min="84" max="84" width="17.7265625" customWidth="1"/>
    <col min="85" max="85" width="19" customWidth="1"/>
    <col min="86" max="86" width="19" style="3" customWidth="1"/>
    <col min="87" max="87" width="12.26953125" customWidth="1"/>
    <col min="88" max="88" width="18.81640625" style="3" customWidth="1"/>
    <col min="89" max="89" width="11.90625" customWidth="1"/>
    <col min="90" max="90" width="15.6328125" customWidth="1"/>
    <col min="91" max="92" width="16.54296875" customWidth="1"/>
    <col min="93" max="93" width="10.7265625" customWidth="1"/>
    <col min="94" max="95" width="16" customWidth="1"/>
    <col min="96" max="96" width="17.81640625" style="3" customWidth="1"/>
    <col min="97" max="97" width="10.90625" customWidth="1"/>
    <col min="98" max="98" width="18.54296875" customWidth="1"/>
    <col min="99" max="99" width="10.90625" customWidth="1"/>
    <col min="100" max="100" width="11.453125" customWidth="1"/>
    <col min="101" max="101" width="11.90625" customWidth="1"/>
  </cols>
  <sheetData>
    <row r="1" spans="1:101" s="1" customForma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9</v>
      </c>
      <c r="F1" s="1" t="s">
        <v>4</v>
      </c>
      <c r="G1" s="1" t="s">
        <v>6</v>
      </c>
      <c r="H1" s="1" t="s">
        <v>16</v>
      </c>
      <c r="I1" s="1" t="s">
        <v>17</v>
      </c>
      <c r="J1" s="1" t="s">
        <v>14</v>
      </c>
      <c r="K1" s="1" t="s">
        <v>19</v>
      </c>
      <c r="L1" s="1" t="s">
        <v>15</v>
      </c>
      <c r="M1" s="2" t="s">
        <v>7</v>
      </c>
      <c r="N1" s="1" t="s">
        <v>9</v>
      </c>
      <c r="O1" s="1" t="s">
        <v>5</v>
      </c>
      <c r="P1" s="1" t="s">
        <v>4</v>
      </c>
      <c r="Q1" s="1" t="s">
        <v>6</v>
      </c>
      <c r="R1" s="1" t="s">
        <v>13</v>
      </c>
      <c r="S1" s="1" t="s">
        <v>12</v>
      </c>
      <c r="T1" s="1" t="s">
        <v>18</v>
      </c>
      <c r="U1" s="1" t="s">
        <v>20</v>
      </c>
      <c r="V1" s="1" t="s">
        <v>15</v>
      </c>
      <c r="W1" s="1" t="s">
        <v>11</v>
      </c>
      <c r="X1" s="1" t="s">
        <v>10</v>
      </c>
      <c r="Y1" s="2" t="s">
        <v>8</v>
      </c>
      <c r="Z1" s="1" t="s">
        <v>9</v>
      </c>
      <c r="AA1" s="1" t="s">
        <v>5</v>
      </c>
      <c r="AB1" s="1" t="s">
        <v>4</v>
      </c>
      <c r="AC1" s="1" t="s">
        <v>6</v>
      </c>
      <c r="AD1" s="1" t="s">
        <v>13</v>
      </c>
      <c r="AE1" s="1" t="s">
        <v>12</v>
      </c>
      <c r="AF1" s="1" t="s">
        <v>18</v>
      </c>
      <c r="AG1" s="1" t="s">
        <v>20</v>
      </c>
      <c r="AH1" s="1" t="s">
        <v>15</v>
      </c>
      <c r="AI1" s="1" t="s">
        <v>11</v>
      </c>
      <c r="AJ1" s="1" t="s">
        <v>10</v>
      </c>
      <c r="AK1" s="2" t="s">
        <v>51</v>
      </c>
      <c r="AL1" s="1" t="s">
        <v>9</v>
      </c>
      <c r="AM1" s="1" t="s">
        <v>5</v>
      </c>
      <c r="AN1" s="1" t="s">
        <v>76</v>
      </c>
      <c r="AO1" s="1" t="s">
        <v>77</v>
      </c>
      <c r="AP1" s="1" t="s">
        <v>80</v>
      </c>
      <c r="AQ1" s="1" t="s">
        <v>21</v>
      </c>
      <c r="AR1" s="1" t="s">
        <v>13</v>
      </c>
      <c r="AS1" s="1" t="s">
        <v>12</v>
      </c>
      <c r="AT1" s="1" t="s">
        <v>18</v>
      </c>
      <c r="AU1" s="1" t="s">
        <v>20</v>
      </c>
      <c r="AV1" s="1" t="s">
        <v>15</v>
      </c>
      <c r="AW1" s="1" t="s">
        <v>11</v>
      </c>
      <c r="AX1" s="1" t="s">
        <v>10</v>
      </c>
      <c r="AY1" s="2" t="s">
        <v>52</v>
      </c>
      <c r="AZ1" s="1" t="s">
        <v>9</v>
      </c>
      <c r="BA1" s="1" t="s">
        <v>78</v>
      </c>
      <c r="BB1" s="1" t="s">
        <v>79</v>
      </c>
      <c r="BC1" s="1" t="s">
        <v>80</v>
      </c>
      <c r="BD1" s="1" t="s">
        <v>4</v>
      </c>
      <c r="BE1" s="1" t="s">
        <v>6</v>
      </c>
      <c r="BF1" s="1" t="s">
        <v>13</v>
      </c>
      <c r="BG1" s="1" t="s">
        <v>12</v>
      </c>
      <c r="BH1" s="1" t="s">
        <v>18</v>
      </c>
      <c r="BI1" s="1" t="s">
        <v>20</v>
      </c>
      <c r="BJ1" s="1" t="s">
        <v>15</v>
      </c>
      <c r="BK1" s="1" t="s">
        <v>11</v>
      </c>
      <c r="BL1" s="1" t="s">
        <v>10</v>
      </c>
      <c r="BM1" s="2" t="s">
        <v>24</v>
      </c>
      <c r="BN1" s="2" t="s">
        <v>29</v>
      </c>
      <c r="BO1" s="1" t="s">
        <v>25</v>
      </c>
      <c r="BP1" s="1" t="s">
        <v>26</v>
      </c>
      <c r="BQ1" s="1" t="s">
        <v>27</v>
      </c>
      <c r="BR1" s="1" t="s">
        <v>28</v>
      </c>
      <c r="BS1" s="1" t="s">
        <v>48</v>
      </c>
      <c r="BT1" s="1" t="s">
        <v>49</v>
      </c>
      <c r="BV1" s="2" t="s">
        <v>33</v>
      </c>
      <c r="BW1" s="1" t="s">
        <v>30</v>
      </c>
      <c r="BX1" s="1" t="s">
        <v>31</v>
      </c>
      <c r="BY1" s="1" t="s">
        <v>32</v>
      </c>
      <c r="BZ1" s="1" t="s">
        <v>47</v>
      </c>
      <c r="CA1" s="2" t="s">
        <v>50</v>
      </c>
      <c r="CB1" s="1" t="s">
        <v>36</v>
      </c>
      <c r="CC1" s="1" t="s">
        <v>35</v>
      </c>
      <c r="CD1" s="1" t="s">
        <v>34</v>
      </c>
      <c r="CE1" s="1" t="s">
        <v>46</v>
      </c>
      <c r="CF1" s="1" t="s">
        <v>37</v>
      </c>
      <c r="CG1" s="1" t="s">
        <v>38</v>
      </c>
      <c r="CH1" s="2" t="s">
        <v>54</v>
      </c>
      <c r="CI1" s="1" t="s">
        <v>41</v>
      </c>
      <c r="CJ1" s="2" t="s">
        <v>53</v>
      </c>
      <c r="CK1" s="1" t="s">
        <v>36</v>
      </c>
      <c r="CL1" s="1" t="s">
        <v>35</v>
      </c>
      <c r="CM1" s="1" t="s">
        <v>34</v>
      </c>
      <c r="CN1" s="1" t="s">
        <v>46</v>
      </c>
      <c r="CO1" s="1" t="s">
        <v>60</v>
      </c>
      <c r="CP1" s="1" t="s">
        <v>61</v>
      </c>
      <c r="CQ1" s="1" t="s">
        <v>62</v>
      </c>
      <c r="CR1" s="2" t="s">
        <v>55</v>
      </c>
      <c r="CS1" s="1" t="s">
        <v>41</v>
      </c>
      <c r="CT1" s="1" t="s">
        <v>56</v>
      </c>
      <c r="CU1" s="1" t="s">
        <v>57</v>
      </c>
      <c r="CV1" s="1" t="s">
        <v>58</v>
      </c>
      <c r="CW1" s="1" t="s">
        <v>59</v>
      </c>
    </row>
    <row r="2" spans="1:101" x14ac:dyDescent="0.35">
      <c r="A2">
        <v>3</v>
      </c>
      <c r="B2">
        <v>21</v>
      </c>
      <c r="C2">
        <v>21</v>
      </c>
      <c r="E2">
        <v>5.9499999999999997E-2</v>
      </c>
      <c r="F2">
        <v>9</v>
      </c>
      <c r="G2">
        <v>1</v>
      </c>
      <c r="H2">
        <v>9</v>
      </c>
      <c r="I2">
        <v>9</v>
      </c>
      <c r="J2">
        <f>SUM(-H2,I2)</f>
        <v>0</v>
      </c>
      <c r="K2">
        <f>I2/H2</f>
        <v>1</v>
      </c>
      <c r="L2" t="e">
        <f>J2/(G2-1)</f>
        <v>#DIV/0!</v>
      </c>
      <c r="M2" s="3" t="s">
        <v>81</v>
      </c>
      <c r="N2">
        <v>1.09E-2</v>
      </c>
      <c r="O2">
        <v>8</v>
      </c>
      <c r="P2">
        <v>9</v>
      </c>
      <c r="Q2">
        <v>1</v>
      </c>
      <c r="R2">
        <v>9</v>
      </c>
      <c r="S2">
        <v>9</v>
      </c>
      <c r="T2">
        <f>SUM(S2,-R2)</f>
        <v>0</v>
      </c>
      <c r="U2">
        <f>S2/R2</f>
        <v>1</v>
      </c>
      <c r="V2" t="e">
        <f>T2/(Q2-1)</f>
        <v>#DIV/0!</v>
      </c>
      <c r="W2">
        <v>45</v>
      </c>
      <c r="X2">
        <v>45</v>
      </c>
      <c r="Y2" s="3" t="s">
        <v>82</v>
      </c>
      <c r="Z2">
        <v>1.9900000000000001E-2</v>
      </c>
      <c r="AA2">
        <v>10</v>
      </c>
      <c r="AB2">
        <v>9</v>
      </c>
      <c r="AC2">
        <v>1</v>
      </c>
      <c r="AD2">
        <v>9</v>
      </c>
      <c r="AE2">
        <v>9</v>
      </c>
      <c r="AF2">
        <f>SUM(AE2,-AD2)</f>
        <v>0</v>
      </c>
      <c r="AG2">
        <f>AE2/AD2</f>
        <v>1</v>
      </c>
      <c r="AH2" t="e">
        <f>AF2/(AC2-1)</f>
        <v>#DIV/0!</v>
      </c>
      <c r="AI2">
        <v>138</v>
      </c>
      <c r="AJ2">
        <v>138</v>
      </c>
      <c r="AK2" s="3" t="s">
        <v>63</v>
      </c>
      <c r="AL2">
        <f>0.0061 + 0.0189</f>
        <v>2.5000000000000001E-2</v>
      </c>
      <c r="AM2">
        <v>8</v>
      </c>
      <c r="AN2">
        <v>9</v>
      </c>
      <c r="AO2">
        <v>9</v>
      </c>
      <c r="AP2">
        <f>AO2/AN2</f>
        <v>1</v>
      </c>
      <c r="AQ2">
        <v>1</v>
      </c>
      <c r="AR2">
        <v>9</v>
      </c>
      <c r="AS2">
        <v>9</v>
      </c>
      <c r="AT2">
        <f>SUM(AS2,-AR2)</f>
        <v>0</v>
      </c>
      <c r="AU2">
        <f>AS2/AR2</f>
        <v>1</v>
      </c>
      <c r="AV2" t="e">
        <f>AT2/(AQ2-1)</f>
        <v>#DIV/0!</v>
      </c>
      <c r="AW2">
        <v>138</v>
      </c>
      <c r="AX2">
        <v>138</v>
      </c>
      <c r="AY2" s="3" t="s">
        <v>64</v>
      </c>
      <c r="AZ2">
        <f>0.0195+0.021</f>
        <v>4.0500000000000001E-2</v>
      </c>
      <c r="BA2">
        <v>8</v>
      </c>
      <c r="BB2">
        <v>17</v>
      </c>
      <c r="BC2">
        <f>BB2/BA2</f>
        <v>2.125</v>
      </c>
      <c r="BD2">
        <v>9</v>
      </c>
      <c r="BE2">
        <v>1</v>
      </c>
      <c r="BF2">
        <v>9</v>
      </c>
      <c r="BG2">
        <v>9</v>
      </c>
      <c r="BH2">
        <f>BG2-BF2</f>
        <v>0</v>
      </c>
      <c r="BI2">
        <f>BG2/BF2</f>
        <v>1</v>
      </c>
      <c r="BJ2" t="e">
        <f>BH2/(BE2-1)</f>
        <v>#DIV/0!</v>
      </c>
      <c r="BK2">
        <v>139</v>
      </c>
      <c r="BL2">
        <v>139</v>
      </c>
      <c r="BN2" s="3" t="s">
        <v>66</v>
      </c>
      <c r="BO2">
        <f t="shared" ref="BO2:BO22" si="0">P2-F2</f>
        <v>0</v>
      </c>
      <c r="BP2">
        <f t="shared" ref="BP2:BP22" si="1">P2/F2</f>
        <v>1</v>
      </c>
      <c r="BQ2">
        <f t="shared" ref="BQ2:BQ22" si="2">AB2-F2</f>
        <v>0</v>
      </c>
      <c r="BR2">
        <f t="shared" ref="BR2:BR22" si="3">AB2/F2</f>
        <v>1</v>
      </c>
      <c r="BS2">
        <f t="shared" ref="BS2:BS22" si="4">AN2-F2</f>
        <v>0</v>
      </c>
      <c r="BT2">
        <f t="shared" ref="BT2:BT22" si="5">AN2/F2</f>
        <v>1</v>
      </c>
      <c r="BU2">
        <f>F2/AN2</f>
        <v>1</v>
      </c>
      <c r="BV2" s="3" t="s">
        <v>69</v>
      </c>
      <c r="BW2">
        <f t="shared" ref="BW2:BW22" si="6">Z2/AL2</f>
        <v>0.79600000000000004</v>
      </c>
      <c r="BX2">
        <f t="shared" ref="BX2:BX22" si="7">AA2-O2</f>
        <v>2</v>
      </c>
      <c r="BY2">
        <f t="shared" ref="BY2:BY22" si="8">AA2/O2</f>
        <v>1.25</v>
      </c>
      <c r="BZ2">
        <f>AC2-Q2</f>
        <v>0</v>
      </c>
      <c r="CA2" s="3" t="s">
        <v>70</v>
      </c>
      <c r="CB2">
        <f t="shared" ref="CB2:CB22" si="9">N2/AL2</f>
        <v>0.436</v>
      </c>
      <c r="CC2">
        <f t="shared" ref="CC2:CC22" si="10">P2-AN2</f>
        <v>0</v>
      </c>
      <c r="CD2">
        <f t="shared" ref="CD2:CD22" si="11">P2/AN2</f>
        <v>1</v>
      </c>
      <c r="CE2">
        <f>AN2/P2</f>
        <v>1</v>
      </c>
      <c r="CF2">
        <f t="shared" ref="CF2:CF22" si="12">AM2-O2</f>
        <v>0</v>
      </c>
      <c r="CG2">
        <f>BP2-BT2</f>
        <v>0</v>
      </c>
      <c r="CH2" s="3" t="s">
        <v>72</v>
      </c>
      <c r="CI2">
        <f>Z2/AL2</f>
        <v>0.79600000000000004</v>
      </c>
      <c r="CJ2" s="3" t="s">
        <v>70</v>
      </c>
      <c r="CK2">
        <f>N2/AZ2</f>
        <v>0.26913580246913582</v>
      </c>
      <c r="CL2">
        <f>P2-BD2</f>
        <v>0</v>
      </c>
      <c r="CM2">
        <f>P2/BD2</f>
        <v>1</v>
      </c>
      <c r="CN2">
        <f>BD2/P2</f>
        <v>1</v>
      </c>
      <c r="CO2">
        <f t="shared" ref="CO2:CO22" si="13">BA2-O2</f>
        <v>0</v>
      </c>
      <c r="CP2">
        <f>O2/BA2</f>
        <v>1</v>
      </c>
      <c r="CQ2">
        <f>BA2/O2</f>
        <v>1</v>
      </c>
      <c r="CR2" s="3" t="s">
        <v>72</v>
      </c>
      <c r="CS2">
        <f>Z2/AZ2</f>
        <v>0.49135802469135803</v>
      </c>
      <c r="CT2">
        <f>AB2-BD2</f>
        <v>0</v>
      </c>
      <c r="CU2">
        <f>AA2-BA2</f>
        <v>2</v>
      </c>
      <c r="CV2">
        <f>AA2/BA2</f>
        <v>1.25</v>
      </c>
      <c r="CW2">
        <f>BA2/AA2</f>
        <v>0.8</v>
      </c>
    </row>
    <row r="3" spans="1:101" x14ac:dyDescent="0.35">
      <c r="A3">
        <v>3</v>
      </c>
      <c r="B3">
        <v>20</v>
      </c>
      <c r="C3">
        <v>20</v>
      </c>
      <c r="E3">
        <v>3.3999999999999998E-3</v>
      </c>
      <c r="F3">
        <v>8</v>
      </c>
      <c r="G3">
        <v>2</v>
      </c>
      <c r="H3">
        <v>9</v>
      </c>
      <c r="I3">
        <v>10</v>
      </c>
      <c r="J3">
        <f t="shared" ref="J3:J22" si="14">SUM(-H3,I3)</f>
        <v>1</v>
      </c>
      <c r="K3">
        <f t="shared" ref="K3:K22" si="15">I3/H3</f>
        <v>1.1111111111111112</v>
      </c>
      <c r="L3">
        <f t="shared" ref="L3:L22" si="16">J3/(G3-1)</f>
        <v>1</v>
      </c>
      <c r="N3">
        <v>8.0000000000000004E-4</v>
      </c>
      <c r="O3">
        <v>3</v>
      </c>
      <c r="P3">
        <v>8</v>
      </c>
      <c r="Q3">
        <v>1</v>
      </c>
      <c r="R3">
        <v>9</v>
      </c>
      <c r="S3">
        <v>9</v>
      </c>
      <c r="T3">
        <f t="shared" ref="T3:T22" si="17">SUM(S3,-R3)</f>
        <v>0</v>
      </c>
      <c r="U3">
        <f t="shared" ref="U3:U22" si="18">S3/R3</f>
        <v>1</v>
      </c>
      <c r="V3" t="e">
        <f t="shared" ref="V3:V22" si="19">T3/(Q3-1)</f>
        <v>#DIV/0!</v>
      </c>
      <c r="W3">
        <v>45</v>
      </c>
      <c r="X3">
        <v>45</v>
      </c>
      <c r="Z3">
        <v>1.5299999999999999E-2</v>
      </c>
      <c r="AA3">
        <v>10</v>
      </c>
      <c r="AB3">
        <v>8</v>
      </c>
      <c r="AC3">
        <v>1</v>
      </c>
      <c r="AD3">
        <v>9</v>
      </c>
      <c r="AE3">
        <v>9</v>
      </c>
      <c r="AF3">
        <f t="shared" ref="AF3:AF22" si="20">SUM(AE3,-AD3)</f>
        <v>0</v>
      </c>
      <c r="AG3">
        <f t="shared" ref="AG3:AG22" si="21">AE3/AD3</f>
        <v>1</v>
      </c>
      <c r="AH3" t="e">
        <f t="shared" ref="AH3:AH22" si="22">AF3/(AC3-1)</f>
        <v>#DIV/0!</v>
      </c>
      <c r="AI3">
        <v>137</v>
      </c>
      <c r="AJ3">
        <v>137</v>
      </c>
      <c r="AK3" s="3" t="s">
        <v>75</v>
      </c>
      <c r="AL3">
        <f>0.0142+0.0079</f>
        <v>2.2100000000000002E-2</v>
      </c>
      <c r="AM3">
        <v>3</v>
      </c>
      <c r="AN3">
        <v>8</v>
      </c>
      <c r="AO3">
        <v>8</v>
      </c>
      <c r="AP3">
        <f t="shared" ref="AP3:AP22" si="23">AO3/AN3</f>
        <v>1</v>
      </c>
      <c r="AQ3">
        <v>1</v>
      </c>
      <c r="AR3">
        <v>9</v>
      </c>
      <c r="AS3">
        <v>9</v>
      </c>
      <c r="AT3">
        <f t="shared" ref="AT3:AT22" si="24">SUM(AS3,-AR3)</f>
        <v>0</v>
      </c>
      <c r="AU3">
        <f t="shared" ref="AU3:AU22" si="25">AS3/AR3</f>
        <v>1</v>
      </c>
      <c r="AV3" t="e">
        <f t="shared" ref="AV3:AV22" si="26">AT3/(AQ3-1)</f>
        <v>#DIV/0!</v>
      </c>
      <c r="AW3">
        <v>137</v>
      </c>
      <c r="AX3">
        <v>137</v>
      </c>
      <c r="AY3" s="3" t="s">
        <v>75</v>
      </c>
      <c r="AZ3">
        <f>0.0152+0.0141</f>
        <v>2.93E-2</v>
      </c>
      <c r="BA3">
        <v>3</v>
      </c>
      <c r="BB3">
        <v>16</v>
      </c>
      <c r="BC3">
        <f t="shared" ref="BC3:BC22" si="27">BB3/BA3</f>
        <v>5.333333333333333</v>
      </c>
      <c r="BD3">
        <v>8</v>
      </c>
      <c r="BE3">
        <v>1</v>
      </c>
      <c r="BF3">
        <v>9</v>
      </c>
      <c r="BG3">
        <v>9</v>
      </c>
      <c r="BH3">
        <f t="shared" ref="BH3:BH22" si="28">BG3-BF3</f>
        <v>0</v>
      </c>
      <c r="BI3">
        <f t="shared" ref="BI3:BI22" si="29">BG3/BF3</f>
        <v>1</v>
      </c>
      <c r="BJ3" t="e">
        <f t="shared" ref="BJ3:BJ22" si="30">BH3/(BE3-1)</f>
        <v>#DIV/0!</v>
      </c>
      <c r="BK3">
        <v>138</v>
      </c>
      <c r="BL3">
        <v>138</v>
      </c>
      <c r="BN3" s="3" t="s">
        <v>67</v>
      </c>
      <c r="BO3">
        <f t="shared" si="0"/>
        <v>0</v>
      </c>
      <c r="BP3">
        <f t="shared" si="1"/>
        <v>1</v>
      </c>
      <c r="BQ3">
        <f t="shared" si="2"/>
        <v>0</v>
      </c>
      <c r="BR3">
        <f t="shared" si="3"/>
        <v>1</v>
      </c>
      <c r="BS3">
        <f t="shared" si="4"/>
        <v>0</v>
      </c>
      <c r="BT3">
        <f t="shared" si="5"/>
        <v>1</v>
      </c>
      <c r="BU3">
        <f t="shared" ref="BU3:BU22" si="31">F3/AN3</f>
        <v>1</v>
      </c>
      <c r="BW3">
        <f t="shared" si="6"/>
        <v>0.69230769230769218</v>
      </c>
      <c r="BX3">
        <f t="shared" si="7"/>
        <v>7</v>
      </c>
      <c r="BY3">
        <f t="shared" si="8"/>
        <v>3.3333333333333335</v>
      </c>
      <c r="BZ3">
        <f t="shared" ref="BZ3:BZ22" si="32">AC3-Q3</f>
        <v>0</v>
      </c>
      <c r="CA3" s="3" t="s">
        <v>71</v>
      </c>
      <c r="CB3">
        <f t="shared" si="9"/>
        <v>3.6199095022624431E-2</v>
      </c>
      <c r="CC3">
        <f t="shared" si="10"/>
        <v>0</v>
      </c>
      <c r="CD3">
        <f t="shared" si="11"/>
        <v>1</v>
      </c>
      <c r="CE3">
        <f t="shared" ref="CE3:CE22" si="33">AN3/P3</f>
        <v>1</v>
      </c>
      <c r="CF3">
        <f t="shared" si="12"/>
        <v>0</v>
      </c>
      <c r="CG3">
        <f t="shared" ref="CG3:CG22" si="34">BP3-BT3</f>
        <v>0</v>
      </c>
      <c r="CH3" s="3" t="s">
        <v>71</v>
      </c>
      <c r="CI3">
        <f t="shared" ref="CI3:CI21" si="35">Z3/AL3</f>
        <v>0.69230769230769218</v>
      </c>
      <c r="CJ3" s="3" t="s">
        <v>73</v>
      </c>
      <c r="CK3">
        <f t="shared" ref="CK3:CK22" si="36">N3/AZ3</f>
        <v>2.7303754266211604E-2</v>
      </c>
      <c r="CL3">
        <f t="shared" ref="CL3:CL22" si="37">P3-BD3</f>
        <v>0</v>
      </c>
      <c r="CM3">
        <f t="shared" ref="CM3:CM22" si="38">P3/BD3</f>
        <v>1</v>
      </c>
      <c r="CN3">
        <f t="shared" ref="CN3:CN22" si="39">BD3/P3</f>
        <v>1</v>
      </c>
      <c r="CO3">
        <f t="shared" si="13"/>
        <v>0</v>
      </c>
      <c r="CP3">
        <f t="shared" ref="CP3:CP22" si="40">O3/BA3</f>
        <v>1</v>
      </c>
      <c r="CQ3">
        <f t="shared" ref="CQ3:CQ22" si="41">BA3/O3</f>
        <v>1</v>
      </c>
      <c r="CR3" s="3" t="s">
        <v>73</v>
      </c>
      <c r="CS3">
        <f t="shared" ref="CS3:CS22" si="42">Z3/AZ3</f>
        <v>0.52218430034129693</v>
      </c>
      <c r="CT3">
        <f t="shared" ref="CT3:CT22" si="43">AB3-BD3</f>
        <v>0</v>
      </c>
      <c r="CU3">
        <f t="shared" ref="CU3:CU22" si="44">AA3-BA3</f>
        <v>7</v>
      </c>
      <c r="CV3">
        <f t="shared" ref="CV3:CV22" si="45">AA3/BA3</f>
        <v>3.3333333333333335</v>
      </c>
      <c r="CW3">
        <f t="shared" ref="CW3:CW22" si="46">BA3/AA3</f>
        <v>0.3</v>
      </c>
    </row>
    <row r="4" spans="1:101" s="4" customFormat="1" x14ac:dyDescent="0.35">
      <c r="A4" s="4">
        <v>3</v>
      </c>
      <c r="B4" s="4">
        <v>18</v>
      </c>
      <c r="C4" s="4">
        <v>23</v>
      </c>
      <c r="D4" s="5"/>
      <c r="E4" s="4">
        <v>4.8999999999999998E-3</v>
      </c>
      <c r="F4" s="4">
        <v>11</v>
      </c>
      <c r="G4" s="4">
        <v>1</v>
      </c>
      <c r="H4" s="4">
        <v>11</v>
      </c>
      <c r="I4" s="4">
        <v>11</v>
      </c>
      <c r="J4" s="4">
        <f t="shared" si="14"/>
        <v>0</v>
      </c>
      <c r="K4" s="4">
        <f t="shared" si="15"/>
        <v>1</v>
      </c>
      <c r="L4" s="4" t="e">
        <f t="shared" si="16"/>
        <v>#DIV/0!</v>
      </c>
      <c r="M4" s="5"/>
      <c r="N4" s="4">
        <v>6.7000000000000002E-3</v>
      </c>
      <c r="O4" s="4">
        <v>6</v>
      </c>
      <c r="P4" s="4">
        <v>11</v>
      </c>
      <c r="Q4" s="4">
        <v>1</v>
      </c>
      <c r="R4" s="4">
        <v>11</v>
      </c>
      <c r="S4" s="4">
        <v>11</v>
      </c>
      <c r="T4" s="4">
        <f t="shared" si="17"/>
        <v>0</v>
      </c>
      <c r="U4" s="4">
        <f t="shared" si="18"/>
        <v>1</v>
      </c>
      <c r="V4" s="4" t="e">
        <f t="shared" si="19"/>
        <v>#DIV/0!</v>
      </c>
      <c r="W4" s="4">
        <v>47</v>
      </c>
      <c r="X4" s="4">
        <v>47</v>
      </c>
      <c r="Y4" s="5"/>
      <c r="Z4" s="4">
        <v>1.0500000000000001E-2</v>
      </c>
      <c r="AA4" s="4">
        <v>11</v>
      </c>
      <c r="AB4" s="4">
        <v>11</v>
      </c>
      <c r="AC4" s="4">
        <v>1</v>
      </c>
      <c r="AD4" s="4">
        <v>11</v>
      </c>
      <c r="AE4" s="4">
        <v>11</v>
      </c>
      <c r="AF4" s="4">
        <f t="shared" si="20"/>
        <v>0</v>
      </c>
      <c r="AG4" s="4">
        <f t="shared" si="21"/>
        <v>1</v>
      </c>
      <c r="AH4" s="4" t="e">
        <f t="shared" si="22"/>
        <v>#DIV/0!</v>
      </c>
      <c r="AI4" s="4">
        <v>142</v>
      </c>
      <c r="AJ4" s="4">
        <v>142</v>
      </c>
      <c r="AK4" s="5" t="s">
        <v>74</v>
      </c>
      <c r="AL4" s="4">
        <f>0.07173+0.0123</f>
        <v>8.4030000000000007E-2</v>
      </c>
      <c r="AM4" s="4">
        <v>6</v>
      </c>
      <c r="AN4" s="4">
        <v>11</v>
      </c>
      <c r="AO4" s="4">
        <v>11</v>
      </c>
      <c r="AP4" s="4">
        <f t="shared" si="23"/>
        <v>1</v>
      </c>
      <c r="AQ4" s="4">
        <v>1</v>
      </c>
      <c r="AR4" s="4">
        <v>11</v>
      </c>
      <c r="AS4" s="4">
        <v>11</v>
      </c>
      <c r="AT4" s="4">
        <f t="shared" si="24"/>
        <v>0</v>
      </c>
      <c r="AU4" s="4">
        <f t="shared" si="25"/>
        <v>1</v>
      </c>
      <c r="AV4" s="4" t="e">
        <f t="shared" si="26"/>
        <v>#DIV/0!</v>
      </c>
      <c r="AW4" s="4">
        <v>142</v>
      </c>
      <c r="AX4" s="4">
        <v>142</v>
      </c>
      <c r="AY4" s="5" t="s">
        <v>65</v>
      </c>
      <c r="AZ4" s="4">
        <f>0.0081+0.0164</f>
        <v>2.4500000000000001E-2</v>
      </c>
      <c r="BA4" s="4">
        <v>6</v>
      </c>
      <c r="BB4" s="4">
        <v>15</v>
      </c>
      <c r="BC4" s="4">
        <f t="shared" si="27"/>
        <v>2.5</v>
      </c>
      <c r="BD4" s="4">
        <v>11</v>
      </c>
      <c r="BE4" s="4">
        <v>1</v>
      </c>
      <c r="BF4" s="4">
        <v>11</v>
      </c>
      <c r="BG4" s="4">
        <v>11</v>
      </c>
      <c r="BH4" s="4">
        <f t="shared" si="28"/>
        <v>0</v>
      </c>
      <c r="BI4" s="4">
        <f t="shared" si="29"/>
        <v>1</v>
      </c>
      <c r="BJ4" s="4" t="e">
        <f t="shared" si="30"/>
        <v>#DIV/0!</v>
      </c>
      <c r="BK4" s="4">
        <v>143</v>
      </c>
      <c r="BL4" s="4">
        <v>143</v>
      </c>
      <c r="BM4" s="5"/>
      <c r="BN4" s="5" t="s">
        <v>68</v>
      </c>
      <c r="BO4" s="4">
        <f t="shared" si="0"/>
        <v>0</v>
      </c>
      <c r="BP4" s="4">
        <f t="shared" si="1"/>
        <v>1</v>
      </c>
      <c r="BQ4" s="4">
        <f t="shared" si="2"/>
        <v>0</v>
      </c>
      <c r="BR4" s="4">
        <f t="shared" si="3"/>
        <v>1</v>
      </c>
      <c r="BS4" s="4">
        <f t="shared" si="4"/>
        <v>0</v>
      </c>
      <c r="BT4" s="4">
        <f t="shared" si="5"/>
        <v>1</v>
      </c>
      <c r="BU4">
        <f t="shared" si="31"/>
        <v>1</v>
      </c>
      <c r="BV4" s="5"/>
      <c r="BW4" s="4">
        <f t="shared" si="6"/>
        <v>0.12495537308104249</v>
      </c>
      <c r="BX4" s="4">
        <f t="shared" si="7"/>
        <v>5</v>
      </c>
      <c r="BY4" s="4">
        <f t="shared" si="8"/>
        <v>1.8333333333333333</v>
      </c>
      <c r="BZ4" s="4">
        <f t="shared" si="32"/>
        <v>0</v>
      </c>
      <c r="CA4" s="5"/>
      <c r="CB4" s="4">
        <f t="shared" si="9"/>
        <v>7.9733428537427112E-2</v>
      </c>
      <c r="CC4" s="4">
        <f t="shared" si="10"/>
        <v>0</v>
      </c>
      <c r="CD4" s="4">
        <f t="shared" si="11"/>
        <v>1</v>
      </c>
      <c r="CE4" s="4">
        <f t="shared" si="33"/>
        <v>1</v>
      </c>
      <c r="CF4" s="4">
        <f t="shared" si="12"/>
        <v>0</v>
      </c>
      <c r="CG4" s="4">
        <f t="shared" si="34"/>
        <v>0</v>
      </c>
      <c r="CH4" s="5"/>
      <c r="CI4" s="4">
        <f t="shared" si="35"/>
        <v>0.12495537308104249</v>
      </c>
      <c r="CJ4" s="5"/>
      <c r="CK4" s="4">
        <f t="shared" si="36"/>
        <v>0.27346938775510204</v>
      </c>
      <c r="CL4" s="4">
        <f t="shared" si="37"/>
        <v>0</v>
      </c>
      <c r="CM4" s="4">
        <f t="shared" si="38"/>
        <v>1</v>
      </c>
      <c r="CN4" s="4">
        <f t="shared" si="39"/>
        <v>1</v>
      </c>
      <c r="CO4" s="4">
        <f t="shared" si="13"/>
        <v>0</v>
      </c>
      <c r="CP4" s="4">
        <f t="shared" si="40"/>
        <v>1</v>
      </c>
      <c r="CQ4" s="4">
        <f t="shared" si="41"/>
        <v>1</v>
      </c>
      <c r="CR4" s="5"/>
      <c r="CS4" s="4">
        <f t="shared" si="42"/>
        <v>0.4285714285714286</v>
      </c>
      <c r="CT4" s="4">
        <f t="shared" si="43"/>
        <v>0</v>
      </c>
      <c r="CU4" s="4">
        <f t="shared" si="44"/>
        <v>5</v>
      </c>
      <c r="CV4" s="4">
        <f t="shared" si="45"/>
        <v>1.8333333333333333</v>
      </c>
      <c r="CW4" s="4">
        <f t="shared" si="46"/>
        <v>0.54545454545454541</v>
      </c>
    </row>
    <row r="5" spans="1:101" x14ac:dyDescent="0.35">
      <c r="A5">
        <v>4</v>
      </c>
      <c r="B5">
        <v>42</v>
      </c>
      <c r="C5">
        <v>51</v>
      </c>
      <c r="E5">
        <v>4.5900000000000003E-2</v>
      </c>
      <c r="F5">
        <v>19</v>
      </c>
      <c r="G5">
        <v>4</v>
      </c>
      <c r="H5">
        <v>20</v>
      </c>
      <c r="I5">
        <v>34</v>
      </c>
      <c r="J5">
        <f t="shared" si="14"/>
        <v>14</v>
      </c>
      <c r="K5">
        <f t="shared" si="15"/>
        <v>1.7</v>
      </c>
      <c r="L5">
        <f t="shared" si="16"/>
        <v>4.666666666666667</v>
      </c>
      <c r="N5">
        <v>3.5400000000000001E-2</v>
      </c>
      <c r="O5">
        <v>13</v>
      </c>
      <c r="P5">
        <v>19</v>
      </c>
      <c r="Q5">
        <v>2</v>
      </c>
      <c r="R5">
        <v>20</v>
      </c>
      <c r="S5">
        <v>22</v>
      </c>
      <c r="T5">
        <f t="shared" si="17"/>
        <v>2</v>
      </c>
      <c r="U5">
        <f t="shared" si="18"/>
        <v>1.1000000000000001</v>
      </c>
      <c r="V5">
        <f t="shared" si="19"/>
        <v>2</v>
      </c>
      <c r="W5">
        <v>116</v>
      </c>
      <c r="X5">
        <v>118</v>
      </c>
      <c r="Z5">
        <v>5.1400000000000001E-2</v>
      </c>
      <c r="AA5">
        <v>15</v>
      </c>
      <c r="AB5">
        <v>19</v>
      </c>
      <c r="AC5">
        <v>2</v>
      </c>
      <c r="AD5">
        <v>20</v>
      </c>
      <c r="AE5">
        <v>22</v>
      </c>
      <c r="AF5">
        <f t="shared" si="20"/>
        <v>2</v>
      </c>
      <c r="AG5">
        <f t="shared" si="21"/>
        <v>1.1000000000000001</v>
      </c>
      <c r="AH5">
        <f t="shared" si="22"/>
        <v>2</v>
      </c>
      <c r="AI5">
        <v>359</v>
      </c>
      <c r="AJ5">
        <v>361</v>
      </c>
      <c r="AL5">
        <f>0.03467+0.0296</f>
        <v>6.4269999999999994E-2</v>
      </c>
      <c r="AM5">
        <v>13</v>
      </c>
      <c r="AN5">
        <v>19</v>
      </c>
      <c r="AO5">
        <v>20</v>
      </c>
      <c r="AP5">
        <f t="shared" si="23"/>
        <v>1.0526315789473684</v>
      </c>
      <c r="AQ5">
        <v>1</v>
      </c>
      <c r="AR5">
        <v>20</v>
      </c>
      <c r="AS5">
        <v>20</v>
      </c>
      <c r="AT5">
        <f t="shared" si="24"/>
        <v>0</v>
      </c>
      <c r="AU5">
        <f t="shared" si="25"/>
        <v>1</v>
      </c>
      <c r="AV5" t="e">
        <f t="shared" si="26"/>
        <v>#DIV/0!</v>
      </c>
      <c r="AW5">
        <v>359</v>
      </c>
      <c r="AX5">
        <v>359</v>
      </c>
      <c r="AZ5">
        <f>0.0582+0.0581</f>
        <v>0.1163</v>
      </c>
      <c r="BA5">
        <v>13</v>
      </c>
      <c r="BB5">
        <v>37</v>
      </c>
      <c r="BC5">
        <f t="shared" si="27"/>
        <v>2.8461538461538463</v>
      </c>
      <c r="BD5">
        <v>19</v>
      </c>
      <c r="BE5">
        <v>2</v>
      </c>
      <c r="BF5">
        <v>20</v>
      </c>
      <c r="BG5">
        <v>22</v>
      </c>
      <c r="BH5">
        <f t="shared" si="28"/>
        <v>2</v>
      </c>
      <c r="BI5">
        <f t="shared" si="29"/>
        <v>1.1000000000000001</v>
      </c>
      <c r="BJ5">
        <f t="shared" si="30"/>
        <v>2</v>
      </c>
      <c r="BK5">
        <v>360</v>
      </c>
      <c r="BL5">
        <v>362</v>
      </c>
      <c r="BO5">
        <f t="shared" si="0"/>
        <v>0</v>
      </c>
      <c r="BP5">
        <f t="shared" si="1"/>
        <v>1</v>
      </c>
      <c r="BQ5">
        <f t="shared" si="2"/>
        <v>0</v>
      </c>
      <c r="BR5">
        <f t="shared" si="3"/>
        <v>1</v>
      </c>
      <c r="BS5">
        <f t="shared" si="4"/>
        <v>0</v>
      </c>
      <c r="BT5">
        <f t="shared" si="5"/>
        <v>1</v>
      </c>
      <c r="BU5">
        <f t="shared" si="31"/>
        <v>1</v>
      </c>
      <c r="BW5">
        <f t="shared" si="6"/>
        <v>0.79975105025672955</v>
      </c>
      <c r="BX5">
        <f t="shared" si="7"/>
        <v>2</v>
      </c>
      <c r="BY5">
        <f t="shared" si="8"/>
        <v>1.1538461538461537</v>
      </c>
      <c r="BZ5">
        <f t="shared" si="32"/>
        <v>0</v>
      </c>
      <c r="CB5">
        <f t="shared" si="9"/>
        <v>0.55080130698615226</v>
      </c>
      <c r="CC5">
        <f t="shared" si="10"/>
        <v>0</v>
      </c>
      <c r="CD5">
        <f t="shared" si="11"/>
        <v>1</v>
      </c>
      <c r="CE5">
        <f t="shared" si="33"/>
        <v>1</v>
      </c>
      <c r="CF5">
        <f t="shared" si="12"/>
        <v>0</v>
      </c>
      <c r="CG5">
        <f t="shared" si="34"/>
        <v>0</v>
      </c>
      <c r="CI5">
        <f t="shared" si="35"/>
        <v>0.79975105025672955</v>
      </c>
      <c r="CK5">
        <f t="shared" si="36"/>
        <v>0.30438521066208085</v>
      </c>
      <c r="CL5">
        <f t="shared" si="37"/>
        <v>0</v>
      </c>
      <c r="CM5">
        <f t="shared" si="38"/>
        <v>1</v>
      </c>
      <c r="CN5">
        <f t="shared" si="39"/>
        <v>1</v>
      </c>
      <c r="CO5">
        <f t="shared" si="13"/>
        <v>0</v>
      </c>
      <c r="CP5">
        <f t="shared" si="40"/>
        <v>1</v>
      </c>
      <c r="CQ5">
        <f t="shared" si="41"/>
        <v>1</v>
      </c>
      <c r="CS5">
        <f t="shared" si="42"/>
        <v>0.44196044711951848</v>
      </c>
      <c r="CT5">
        <f t="shared" si="43"/>
        <v>0</v>
      </c>
      <c r="CU5">
        <f t="shared" si="44"/>
        <v>2</v>
      </c>
      <c r="CV5">
        <f t="shared" si="45"/>
        <v>1.1538461538461537</v>
      </c>
      <c r="CW5">
        <f t="shared" si="46"/>
        <v>0.8666666666666667</v>
      </c>
    </row>
    <row r="6" spans="1:101" x14ac:dyDescent="0.35">
      <c r="A6">
        <v>4</v>
      </c>
      <c r="B6">
        <v>42</v>
      </c>
      <c r="C6">
        <v>57</v>
      </c>
      <c r="E6">
        <v>3.5200000000000002E-2</v>
      </c>
      <c r="F6">
        <v>25</v>
      </c>
      <c r="G6">
        <v>3</v>
      </c>
      <c r="H6">
        <v>27</v>
      </c>
      <c r="I6">
        <v>34</v>
      </c>
      <c r="J6">
        <f t="shared" si="14"/>
        <v>7</v>
      </c>
      <c r="K6">
        <f t="shared" si="15"/>
        <v>1.2592592592592593</v>
      </c>
      <c r="L6">
        <f t="shared" si="16"/>
        <v>3.5</v>
      </c>
      <c r="N6">
        <v>2.1999999999999999E-2</v>
      </c>
      <c r="O6">
        <v>12</v>
      </c>
      <c r="P6">
        <v>25</v>
      </c>
      <c r="Q6">
        <v>1</v>
      </c>
      <c r="R6">
        <v>27</v>
      </c>
      <c r="S6">
        <v>27</v>
      </c>
      <c r="T6">
        <f t="shared" si="17"/>
        <v>0</v>
      </c>
      <c r="U6">
        <f t="shared" si="18"/>
        <v>1</v>
      </c>
      <c r="V6" t="e">
        <f t="shared" si="19"/>
        <v>#DIV/0!</v>
      </c>
      <c r="W6">
        <v>123</v>
      </c>
      <c r="X6">
        <v>123</v>
      </c>
      <c r="Z6">
        <v>6.5699999999999995E-2</v>
      </c>
      <c r="AA6">
        <v>18</v>
      </c>
      <c r="AB6">
        <v>25</v>
      </c>
      <c r="AC6">
        <v>1</v>
      </c>
      <c r="AD6">
        <v>27</v>
      </c>
      <c r="AE6">
        <v>27</v>
      </c>
      <c r="AF6">
        <f t="shared" si="20"/>
        <v>0</v>
      </c>
      <c r="AG6">
        <f t="shared" si="21"/>
        <v>1</v>
      </c>
      <c r="AH6" t="e">
        <f t="shared" si="22"/>
        <v>#DIV/0!</v>
      </c>
      <c r="AI6">
        <v>372</v>
      </c>
      <c r="AJ6">
        <v>372</v>
      </c>
      <c r="AL6">
        <f>0.0461+0.0233</f>
        <v>6.9400000000000003E-2</v>
      </c>
      <c r="AM6">
        <v>12</v>
      </c>
      <c r="AN6">
        <v>25</v>
      </c>
      <c r="AO6">
        <v>25</v>
      </c>
      <c r="AP6">
        <f t="shared" si="23"/>
        <v>1</v>
      </c>
      <c r="AQ6">
        <v>1</v>
      </c>
      <c r="AR6">
        <v>27</v>
      </c>
      <c r="AS6">
        <v>27</v>
      </c>
      <c r="AT6">
        <f t="shared" si="24"/>
        <v>0</v>
      </c>
      <c r="AU6">
        <f t="shared" si="25"/>
        <v>1</v>
      </c>
      <c r="AV6" t="e">
        <f t="shared" si="26"/>
        <v>#DIV/0!</v>
      </c>
      <c r="AW6">
        <v>372</v>
      </c>
      <c r="AX6">
        <v>372</v>
      </c>
      <c r="AZ6">
        <f>0.03863+0.037</f>
        <v>7.5630000000000003E-2</v>
      </c>
      <c r="BA6">
        <v>12</v>
      </c>
      <c r="BB6">
        <v>38</v>
      </c>
      <c r="BC6">
        <f t="shared" si="27"/>
        <v>3.1666666666666665</v>
      </c>
      <c r="BD6">
        <v>25</v>
      </c>
      <c r="BE6">
        <v>1</v>
      </c>
      <c r="BF6">
        <v>27</v>
      </c>
      <c r="BG6">
        <v>27</v>
      </c>
      <c r="BH6">
        <f t="shared" si="28"/>
        <v>0</v>
      </c>
      <c r="BI6">
        <f t="shared" si="29"/>
        <v>1</v>
      </c>
      <c r="BJ6" t="e">
        <f t="shared" si="30"/>
        <v>#DIV/0!</v>
      </c>
      <c r="BK6">
        <v>373</v>
      </c>
      <c r="BL6">
        <v>373</v>
      </c>
      <c r="BO6">
        <f t="shared" si="0"/>
        <v>0</v>
      </c>
      <c r="BP6">
        <f t="shared" si="1"/>
        <v>1</v>
      </c>
      <c r="BQ6">
        <f t="shared" si="2"/>
        <v>0</v>
      </c>
      <c r="BR6">
        <f t="shared" si="3"/>
        <v>1</v>
      </c>
      <c r="BS6">
        <f t="shared" si="4"/>
        <v>0</v>
      </c>
      <c r="BT6">
        <f t="shared" si="5"/>
        <v>1</v>
      </c>
      <c r="BU6">
        <f t="shared" si="31"/>
        <v>1</v>
      </c>
      <c r="BW6">
        <f t="shared" si="6"/>
        <v>0.94668587896253586</v>
      </c>
      <c r="BX6">
        <f t="shared" si="7"/>
        <v>6</v>
      </c>
      <c r="BY6">
        <f t="shared" si="8"/>
        <v>1.5</v>
      </c>
      <c r="BZ6">
        <f t="shared" si="32"/>
        <v>0</v>
      </c>
      <c r="CB6">
        <f t="shared" si="9"/>
        <v>0.31700288184438036</v>
      </c>
      <c r="CC6">
        <f t="shared" si="10"/>
        <v>0</v>
      </c>
      <c r="CD6">
        <f t="shared" si="11"/>
        <v>1</v>
      </c>
      <c r="CE6">
        <f t="shared" si="33"/>
        <v>1</v>
      </c>
      <c r="CF6">
        <f t="shared" si="12"/>
        <v>0</v>
      </c>
      <c r="CG6">
        <f t="shared" si="34"/>
        <v>0</v>
      </c>
      <c r="CI6">
        <f t="shared" si="35"/>
        <v>0.94668587896253586</v>
      </c>
      <c r="CK6">
        <f t="shared" si="36"/>
        <v>0.29088985852175059</v>
      </c>
      <c r="CL6">
        <f t="shared" si="37"/>
        <v>0</v>
      </c>
      <c r="CM6">
        <f t="shared" si="38"/>
        <v>1</v>
      </c>
      <c r="CN6">
        <f t="shared" si="39"/>
        <v>1</v>
      </c>
      <c r="CO6">
        <f t="shared" si="13"/>
        <v>0</v>
      </c>
      <c r="CP6">
        <f t="shared" si="40"/>
        <v>1</v>
      </c>
      <c r="CQ6">
        <f t="shared" si="41"/>
        <v>1</v>
      </c>
      <c r="CS6">
        <f t="shared" si="42"/>
        <v>0.86870289567631886</v>
      </c>
      <c r="CT6">
        <f t="shared" si="43"/>
        <v>0</v>
      </c>
      <c r="CU6">
        <f t="shared" si="44"/>
        <v>6</v>
      </c>
      <c r="CV6">
        <f t="shared" si="45"/>
        <v>1.5</v>
      </c>
      <c r="CW6">
        <f t="shared" si="46"/>
        <v>0.66666666666666663</v>
      </c>
    </row>
    <row r="7" spans="1:101" s="4" customFormat="1" x14ac:dyDescent="0.35">
      <c r="A7" s="4">
        <v>4</v>
      </c>
      <c r="B7" s="4">
        <v>43</v>
      </c>
      <c r="C7" s="4">
        <v>57</v>
      </c>
      <c r="D7" s="5"/>
      <c r="E7" s="4">
        <v>2.1000000000000001E-2</v>
      </c>
      <c r="F7" s="4">
        <v>25</v>
      </c>
      <c r="G7" s="4">
        <v>1</v>
      </c>
      <c r="H7" s="4">
        <v>25</v>
      </c>
      <c r="I7" s="4">
        <v>25</v>
      </c>
      <c r="J7" s="4">
        <f t="shared" si="14"/>
        <v>0</v>
      </c>
      <c r="K7" s="4">
        <f t="shared" si="15"/>
        <v>1</v>
      </c>
      <c r="L7" s="4" t="e">
        <f t="shared" si="16"/>
        <v>#DIV/0!</v>
      </c>
      <c r="M7" s="5"/>
      <c r="N7" s="4">
        <v>3.3799999999999997E-2</v>
      </c>
      <c r="O7" s="4">
        <v>13</v>
      </c>
      <c r="P7" s="4">
        <v>26</v>
      </c>
      <c r="Q7" s="4">
        <v>2</v>
      </c>
      <c r="R7" s="4">
        <v>25</v>
      </c>
      <c r="S7" s="4">
        <v>26</v>
      </c>
      <c r="T7" s="4">
        <f t="shared" si="17"/>
        <v>1</v>
      </c>
      <c r="U7" s="4">
        <f t="shared" si="18"/>
        <v>1.04</v>
      </c>
      <c r="V7" s="4">
        <f t="shared" si="19"/>
        <v>1</v>
      </c>
      <c r="W7" s="4">
        <v>121</v>
      </c>
      <c r="X7" s="4">
        <v>122</v>
      </c>
      <c r="Y7" s="5"/>
      <c r="Z7" s="4">
        <v>3.4000000000000002E-2</v>
      </c>
      <c r="AA7" s="4">
        <v>23</v>
      </c>
      <c r="AB7" s="4">
        <v>25</v>
      </c>
      <c r="AC7" s="4">
        <v>1</v>
      </c>
      <c r="AD7" s="4">
        <v>25</v>
      </c>
      <c r="AE7" s="4">
        <v>25</v>
      </c>
      <c r="AF7" s="4">
        <f t="shared" si="20"/>
        <v>0</v>
      </c>
      <c r="AG7" s="4">
        <f t="shared" si="21"/>
        <v>1</v>
      </c>
      <c r="AH7" s="4" t="e">
        <f t="shared" si="22"/>
        <v>#DIV/0!</v>
      </c>
      <c r="AI7" s="4">
        <v>370</v>
      </c>
      <c r="AJ7" s="4">
        <v>370</v>
      </c>
      <c r="AK7" s="5"/>
      <c r="AL7" s="4">
        <f>0.0635+0.0399</f>
        <v>0.10339999999999999</v>
      </c>
      <c r="AM7" s="4">
        <v>13</v>
      </c>
      <c r="AN7" s="4">
        <v>25</v>
      </c>
      <c r="AO7" s="4">
        <v>26</v>
      </c>
      <c r="AP7" s="4">
        <f t="shared" si="23"/>
        <v>1.04</v>
      </c>
      <c r="AQ7" s="4">
        <v>2</v>
      </c>
      <c r="AR7" s="4">
        <v>25</v>
      </c>
      <c r="AS7" s="4">
        <v>26</v>
      </c>
      <c r="AT7" s="4">
        <f t="shared" si="24"/>
        <v>1</v>
      </c>
      <c r="AU7" s="4">
        <f t="shared" si="25"/>
        <v>1.04</v>
      </c>
      <c r="AV7" s="4">
        <f t="shared" si="26"/>
        <v>1</v>
      </c>
      <c r="AW7" s="4">
        <v>370</v>
      </c>
      <c r="AX7" s="4">
        <v>371</v>
      </c>
      <c r="AY7" s="5"/>
      <c r="AZ7" s="4">
        <f>0.0642+0.0571</f>
        <v>0.12129999999999999</v>
      </c>
      <c r="BA7" s="4">
        <v>13</v>
      </c>
      <c r="BB7" s="4">
        <v>37</v>
      </c>
      <c r="BC7" s="4">
        <f t="shared" si="27"/>
        <v>2.8461538461538463</v>
      </c>
      <c r="BD7" s="4">
        <v>25</v>
      </c>
      <c r="BE7" s="4">
        <v>2</v>
      </c>
      <c r="BF7" s="4">
        <v>25</v>
      </c>
      <c r="BG7" s="4">
        <v>26</v>
      </c>
      <c r="BH7" s="4">
        <f t="shared" si="28"/>
        <v>1</v>
      </c>
      <c r="BI7" s="4">
        <f t="shared" si="29"/>
        <v>1.04</v>
      </c>
      <c r="BJ7" s="4">
        <f t="shared" si="30"/>
        <v>1</v>
      </c>
      <c r="BK7" s="4">
        <v>371</v>
      </c>
      <c r="BL7" s="4">
        <v>372</v>
      </c>
      <c r="BM7" s="5"/>
      <c r="BN7" s="5"/>
      <c r="BO7" s="4">
        <f t="shared" si="0"/>
        <v>1</v>
      </c>
      <c r="BP7" s="4">
        <f t="shared" si="1"/>
        <v>1.04</v>
      </c>
      <c r="BQ7" s="4">
        <f t="shared" si="2"/>
        <v>0</v>
      </c>
      <c r="BR7" s="4">
        <f t="shared" si="3"/>
        <v>1</v>
      </c>
      <c r="BS7" s="4">
        <f t="shared" si="4"/>
        <v>0</v>
      </c>
      <c r="BT7" s="4">
        <f t="shared" si="5"/>
        <v>1</v>
      </c>
      <c r="BU7">
        <f t="shared" si="31"/>
        <v>1</v>
      </c>
      <c r="BV7" s="5"/>
      <c r="BW7" s="4">
        <f t="shared" si="6"/>
        <v>0.32882011605415867</v>
      </c>
      <c r="BX7" s="4">
        <f t="shared" si="7"/>
        <v>10</v>
      </c>
      <c r="BY7" s="4">
        <f t="shared" si="8"/>
        <v>1.7692307692307692</v>
      </c>
      <c r="BZ7" s="4">
        <f t="shared" si="32"/>
        <v>-1</v>
      </c>
      <c r="CA7" s="5"/>
      <c r="CB7" s="4">
        <f t="shared" si="9"/>
        <v>0.32688588007736941</v>
      </c>
      <c r="CC7" s="4">
        <f t="shared" si="10"/>
        <v>1</v>
      </c>
      <c r="CD7" s="4">
        <f t="shared" si="11"/>
        <v>1.04</v>
      </c>
      <c r="CE7" s="4">
        <f t="shared" si="33"/>
        <v>0.96153846153846156</v>
      </c>
      <c r="CF7" s="4">
        <f t="shared" si="12"/>
        <v>0</v>
      </c>
      <c r="CG7" s="4">
        <f t="shared" si="34"/>
        <v>4.0000000000000036E-2</v>
      </c>
      <c r="CH7" s="5"/>
      <c r="CI7" s="4">
        <f t="shared" si="35"/>
        <v>0.32882011605415867</v>
      </c>
      <c r="CJ7" s="5"/>
      <c r="CK7" s="4">
        <f t="shared" si="36"/>
        <v>0.27864798021434461</v>
      </c>
      <c r="CL7" s="4">
        <f t="shared" si="37"/>
        <v>1</v>
      </c>
      <c r="CM7" s="4">
        <f t="shared" si="38"/>
        <v>1.04</v>
      </c>
      <c r="CN7" s="4">
        <f t="shared" si="39"/>
        <v>0.96153846153846156</v>
      </c>
      <c r="CO7" s="4">
        <f t="shared" si="13"/>
        <v>0</v>
      </c>
      <c r="CP7" s="4">
        <f t="shared" si="40"/>
        <v>1</v>
      </c>
      <c r="CQ7" s="4">
        <f t="shared" si="41"/>
        <v>1</v>
      </c>
      <c r="CR7" s="5"/>
      <c r="CS7" s="4">
        <f t="shared" si="42"/>
        <v>0.28029678483099757</v>
      </c>
      <c r="CT7" s="4">
        <f t="shared" si="43"/>
        <v>0</v>
      </c>
      <c r="CU7" s="4">
        <f t="shared" si="44"/>
        <v>10</v>
      </c>
      <c r="CV7" s="4">
        <f t="shared" si="45"/>
        <v>1.7692307692307692</v>
      </c>
      <c r="CW7" s="4">
        <f t="shared" si="46"/>
        <v>0.56521739130434778</v>
      </c>
    </row>
    <row r="8" spans="1:101" x14ac:dyDescent="0.35">
      <c r="A8">
        <v>5</v>
      </c>
      <c r="B8">
        <v>83</v>
      </c>
      <c r="C8">
        <v>140</v>
      </c>
      <c r="E8">
        <v>0.1479</v>
      </c>
      <c r="F8">
        <v>60</v>
      </c>
      <c r="G8">
        <v>6</v>
      </c>
      <c r="H8">
        <v>70</v>
      </c>
      <c r="I8">
        <v>122</v>
      </c>
      <c r="J8">
        <f t="shared" si="14"/>
        <v>52</v>
      </c>
      <c r="K8">
        <f t="shared" si="15"/>
        <v>1.7428571428571429</v>
      </c>
      <c r="L8">
        <f t="shared" si="16"/>
        <v>10.4</v>
      </c>
      <c r="N8">
        <v>0.1105</v>
      </c>
      <c r="O8">
        <v>22</v>
      </c>
      <c r="P8">
        <v>63</v>
      </c>
      <c r="Q8">
        <v>2</v>
      </c>
      <c r="R8">
        <v>70</v>
      </c>
      <c r="S8">
        <v>76</v>
      </c>
      <c r="T8">
        <f t="shared" si="17"/>
        <v>6</v>
      </c>
      <c r="U8">
        <f t="shared" si="18"/>
        <v>1.0857142857142856</v>
      </c>
      <c r="V8">
        <f t="shared" si="19"/>
        <v>6</v>
      </c>
      <c r="W8">
        <v>310</v>
      </c>
      <c r="X8">
        <v>316</v>
      </c>
      <c r="Z8">
        <v>0.1143</v>
      </c>
      <c r="AA8">
        <v>26</v>
      </c>
      <c r="AB8">
        <v>60</v>
      </c>
      <c r="AC8">
        <v>1</v>
      </c>
      <c r="AD8">
        <v>70</v>
      </c>
      <c r="AE8">
        <v>70</v>
      </c>
      <c r="AF8">
        <f t="shared" si="20"/>
        <v>0</v>
      </c>
      <c r="AG8">
        <f t="shared" si="21"/>
        <v>1</v>
      </c>
      <c r="AH8" t="e">
        <f t="shared" si="22"/>
        <v>#DIV/0!</v>
      </c>
      <c r="AI8">
        <v>930</v>
      </c>
      <c r="AJ8">
        <v>930</v>
      </c>
      <c r="AL8">
        <f>0.1783+0.1111</f>
        <v>0.28939999999999999</v>
      </c>
      <c r="AM8">
        <v>22</v>
      </c>
      <c r="AN8">
        <v>60</v>
      </c>
      <c r="AO8">
        <v>64</v>
      </c>
      <c r="AP8">
        <f t="shared" si="23"/>
        <v>1.0666666666666667</v>
      </c>
      <c r="AQ8">
        <v>2</v>
      </c>
      <c r="AR8">
        <v>70</v>
      </c>
      <c r="AS8">
        <v>75</v>
      </c>
      <c r="AT8">
        <f t="shared" si="24"/>
        <v>5</v>
      </c>
      <c r="AU8">
        <f t="shared" si="25"/>
        <v>1.0714285714285714</v>
      </c>
      <c r="AV8">
        <f t="shared" si="26"/>
        <v>5</v>
      </c>
      <c r="AW8">
        <v>930</v>
      </c>
      <c r="AX8">
        <v>935</v>
      </c>
      <c r="AZ8">
        <f>0.1738+0.1295</f>
        <v>0.30330000000000001</v>
      </c>
      <c r="BA8">
        <v>22</v>
      </c>
      <c r="BB8">
        <v>76</v>
      </c>
      <c r="BC8">
        <f t="shared" si="27"/>
        <v>3.4545454545454546</v>
      </c>
      <c r="BD8">
        <v>60</v>
      </c>
      <c r="BE8">
        <v>2</v>
      </c>
      <c r="BF8">
        <v>70</v>
      </c>
      <c r="BG8">
        <v>79</v>
      </c>
      <c r="BH8">
        <f t="shared" si="28"/>
        <v>9</v>
      </c>
      <c r="BI8">
        <f t="shared" si="29"/>
        <v>1.1285714285714286</v>
      </c>
      <c r="BJ8">
        <f t="shared" si="30"/>
        <v>9</v>
      </c>
      <c r="BK8">
        <v>931</v>
      </c>
      <c r="BL8">
        <v>940</v>
      </c>
      <c r="BO8">
        <f t="shared" si="0"/>
        <v>3</v>
      </c>
      <c r="BP8">
        <f t="shared" si="1"/>
        <v>1.05</v>
      </c>
      <c r="BQ8">
        <f t="shared" si="2"/>
        <v>0</v>
      </c>
      <c r="BR8">
        <f t="shared" si="3"/>
        <v>1</v>
      </c>
      <c r="BS8">
        <f t="shared" si="4"/>
        <v>0</v>
      </c>
      <c r="BT8">
        <f t="shared" si="5"/>
        <v>1</v>
      </c>
      <c r="BU8">
        <f t="shared" si="31"/>
        <v>1</v>
      </c>
      <c r="BW8">
        <f t="shared" si="6"/>
        <v>0.39495507947477543</v>
      </c>
      <c r="BX8">
        <f t="shared" si="7"/>
        <v>4</v>
      </c>
      <c r="BY8">
        <f t="shared" si="8"/>
        <v>1.1818181818181819</v>
      </c>
      <c r="BZ8">
        <f t="shared" si="32"/>
        <v>-1</v>
      </c>
      <c r="CB8">
        <f t="shared" si="9"/>
        <v>0.38182446440912232</v>
      </c>
      <c r="CC8">
        <f t="shared" si="10"/>
        <v>3</v>
      </c>
      <c r="CD8">
        <f t="shared" si="11"/>
        <v>1.05</v>
      </c>
      <c r="CE8">
        <f t="shared" si="33"/>
        <v>0.95238095238095233</v>
      </c>
      <c r="CF8">
        <f t="shared" si="12"/>
        <v>0</v>
      </c>
      <c r="CG8">
        <f t="shared" si="34"/>
        <v>5.0000000000000044E-2</v>
      </c>
      <c r="CI8">
        <f t="shared" si="35"/>
        <v>0.39495507947477543</v>
      </c>
      <c r="CK8">
        <f t="shared" si="36"/>
        <v>0.36432575008242662</v>
      </c>
      <c r="CL8">
        <f t="shared" si="37"/>
        <v>3</v>
      </c>
      <c r="CM8">
        <f t="shared" si="38"/>
        <v>1.05</v>
      </c>
      <c r="CN8">
        <f t="shared" si="39"/>
        <v>0.95238095238095233</v>
      </c>
      <c r="CO8">
        <f t="shared" si="13"/>
        <v>0</v>
      </c>
      <c r="CP8">
        <f t="shared" si="40"/>
        <v>1</v>
      </c>
      <c r="CQ8">
        <f t="shared" si="41"/>
        <v>1</v>
      </c>
      <c r="CS8">
        <f t="shared" si="42"/>
        <v>0.37685459940652816</v>
      </c>
      <c r="CT8">
        <f t="shared" si="43"/>
        <v>0</v>
      </c>
      <c r="CU8">
        <f t="shared" si="44"/>
        <v>4</v>
      </c>
      <c r="CV8">
        <f t="shared" si="45"/>
        <v>1.1818181818181819</v>
      </c>
      <c r="CW8">
        <f t="shared" si="46"/>
        <v>0.84615384615384615</v>
      </c>
    </row>
    <row r="9" spans="1:101" x14ac:dyDescent="0.35">
      <c r="A9">
        <v>5</v>
      </c>
      <c r="B9">
        <v>91</v>
      </c>
      <c r="C9">
        <v>130</v>
      </c>
      <c r="E9">
        <v>0.1227</v>
      </c>
      <c r="F9">
        <v>50</v>
      </c>
      <c r="G9">
        <v>5</v>
      </c>
      <c r="H9">
        <v>71</v>
      </c>
      <c r="I9">
        <v>92</v>
      </c>
      <c r="J9">
        <f t="shared" si="14"/>
        <v>21</v>
      </c>
      <c r="K9">
        <f t="shared" si="15"/>
        <v>1.295774647887324</v>
      </c>
      <c r="L9">
        <f t="shared" si="16"/>
        <v>5.25</v>
      </c>
      <c r="N9">
        <v>0.1009</v>
      </c>
      <c r="O9">
        <v>26</v>
      </c>
      <c r="P9">
        <v>52</v>
      </c>
      <c r="Q9">
        <v>2</v>
      </c>
      <c r="R9">
        <v>71</v>
      </c>
      <c r="S9">
        <v>74</v>
      </c>
      <c r="T9">
        <f t="shared" si="17"/>
        <v>3</v>
      </c>
      <c r="U9">
        <f t="shared" si="18"/>
        <v>1.0422535211267605</v>
      </c>
      <c r="V9">
        <f t="shared" si="19"/>
        <v>3</v>
      </c>
      <c r="W9">
        <v>311</v>
      </c>
      <c r="X9">
        <v>314</v>
      </c>
      <c r="Z9">
        <v>0.1613</v>
      </c>
      <c r="AA9">
        <v>30</v>
      </c>
      <c r="AB9">
        <v>50</v>
      </c>
      <c r="AC9">
        <v>2</v>
      </c>
      <c r="AD9">
        <v>71</v>
      </c>
      <c r="AE9">
        <v>72</v>
      </c>
      <c r="AF9">
        <f t="shared" si="20"/>
        <v>1</v>
      </c>
      <c r="AG9">
        <f t="shared" si="21"/>
        <v>1.0140845070422535</v>
      </c>
      <c r="AH9">
        <f t="shared" si="22"/>
        <v>1</v>
      </c>
      <c r="AI9">
        <v>921</v>
      </c>
      <c r="AJ9">
        <v>922</v>
      </c>
      <c r="AL9">
        <f>0.1679+0.1146</f>
        <v>0.28249999999999997</v>
      </c>
      <c r="AM9">
        <v>26</v>
      </c>
      <c r="AN9">
        <v>50</v>
      </c>
      <c r="AO9">
        <v>52</v>
      </c>
      <c r="AP9">
        <f t="shared" si="23"/>
        <v>1.04</v>
      </c>
      <c r="AQ9">
        <v>2</v>
      </c>
      <c r="AR9">
        <v>71</v>
      </c>
      <c r="AS9">
        <v>73</v>
      </c>
      <c r="AT9">
        <f t="shared" si="24"/>
        <v>2</v>
      </c>
      <c r="AU9">
        <f t="shared" si="25"/>
        <v>1.028169014084507</v>
      </c>
      <c r="AV9">
        <f t="shared" si="26"/>
        <v>2</v>
      </c>
      <c r="AW9">
        <v>921</v>
      </c>
      <c r="AX9">
        <v>923</v>
      </c>
      <c r="AZ9">
        <f>0.1175+0.1885</f>
        <v>0.30599999999999999</v>
      </c>
      <c r="BA9">
        <v>26</v>
      </c>
      <c r="BB9">
        <v>80</v>
      </c>
      <c r="BC9">
        <f t="shared" si="27"/>
        <v>3.0769230769230771</v>
      </c>
      <c r="BD9">
        <v>50</v>
      </c>
      <c r="BE9">
        <v>1</v>
      </c>
      <c r="BF9">
        <v>71</v>
      </c>
      <c r="BG9">
        <v>71</v>
      </c>
      <c r="BH9">
        <f t="shared" si="28"/>
        <v>0</v>
      </c>
      <c r="BI9">
        <f t="shared" si="29"/>
        <v>1</v>
      </c>
      <c r="BJ9" t="e">
        <f t="shared" si="30"/>
        <v>#DIV/0!</v>
      </c>
      <c r="BK9">
        <v>922</v>
      </c>
      <c r="BL9">
        <v>922</v>
      </c>
      <c r="BO9">
        <f t="shared" si="0"/>
        <v>2</v>
      </c>
      <c r="BP9">
        <f t="shared" si="1"/>
        <v>1.04</v>
      </c>
      <c r="BQ9">
        <f t="shared" si="2"/>
        <v>0</v>
      </c>
      <c r="BR9">
        <f t="shared" si="3"/>
        <v>1</v>
      </c>
      <c r="BS9">
        <f t="shared" si="4"/>
        <v>0</v>
      </c>
      <c r="BT9">
        <f t="shared" si="5"/>
        <v>1</v>
      </c>
      <c r="BU9">
        <f t="shared" si="31"/>
        <v>1</v>
      </c>
      <c r="BW9">
        <f t="shared" si="6"/>
        <v>0.57097345132743371</v>
      </c>
      <c r="BX9">
        <f t="shared" si="7"/>
        <v>4</v>
      </c>
      <c r="BY9">
        <f t="shared" si="8"/>
        <v>1.1538461538461537</v>
      </c>
      <c r="BZ9">
        <f t="shared" si="32"/>
        <v>0</v>
      </c>
      <c r="CB9">
        <f t="shared" si="9"/>
        <v>0.35716814159292037</v>
      </c>
      <c r="CC9">
        <f t="shared" si="10"/>
        <v>2</v>
      </c>
      <c r="CD9">
        <f t="shared" si="11"/>
        <v>1.04</v>
      </c>
      <c r="CE9">
        <f t="shared" si="33"/>
        <v>0.96153846153846156</v>
      </c>
      <c r="CF9">
        <f t="shared" si="12"/>
        <v>0</v>
      </c>
      <c r="CG9">
        <f t="shared" si="34"/>
        <v>4.0000000000000036E-2</v>
      </c>
      <c r="CI9">
        <f t="shared" si="35"/>
        <v>0.57097345132743371</v>
      </c>
      <c r="CK9">
        <f t="shared" si="36"/>
        <v>0.32973856209150326</v>
      </c>
      <c r="CL9">
        <f t="shared" si="37"/>
        <v>2</v>
      </c>
      <c r="CM9">
        <f t="shared" si="38"/>
        <v>1.04</v>
      </c>
      <c r="CN9">
        <f t="shared" si="39"/>
        <v>0.96153846153846156</v>
      </c>
      <c r="CO9">
        <f t="shared" si="13"/>
        <v>0</v>
      </c>
      <c r="CP9">
        <f t="shared" si="40"/>
        <v>1</v>
      </c>
      <c r="CQ9">
        <f t="shared" si="41"/>
        <v>1</v>
      </c>
      <c r="CS9">
        <f t="shared" si="42"/>
        <v>0.52712418300653596</v>
      </c>
      <c r="CT9">
        <f t="shared" si="43"/>
        <v>0</v>
      </c>
      <c r="CU9">
        <f t="shared" si="44"/>
        <v>4</v>
      </c>
      <c r="CV9">
        <f t="shared" si="45"/>
        <v>1.1538461538461537</v>
      </c>
      <c r="CW9">
        <f t="shared" si="46"/>
        <v>0.8666666666666667</v>
      </c>
    </row>
    <row r="10" spans="1:101" s="4" customFormat="1" x14ac:dyDescent="0.35">
      <c r="A10" s="4">
        <v>5</v>
      </c>
      <c r="B10" s="4">
        <v>89</v>
      </c>
      <c r="C10" s="4">
        <v>143</v>
      </c>
      <c r="D10" s="5"/>
      <c r="E10" s="4">
        <v>0.14480000000000001</v>
      </c>
      <c r="F10" s="4">
        <v>63</v>
      </c>
      <c r="G10" s="4">
        <v>5</v>
      </c>
      <c r="H10" s="4">
        <v>71</v>
      </c>
      <c r="I10" s="4">
        <v>118</v>
      </c>
      <c r="J10" s="4">
        <f t="shared" si="14"/>
        <v>47</v>
      </c>
      <c r="K10" s="4">
        <f t="shared" si="15"/>
        <v>1.6619718309859155</v>
      </c>
      <c r="L10" s="4">
        <f t="shared" si="16"/>
        <v>11.75</v>
      </c>
      <c r="M10" s="5"/>
      <c r="N10" s="4">
        <v>0.13469999999999999</v>
      </c>
      <c r="O10" s="4">
        <v>22</v>
      </c>
      <c r="P10" s="4">
        <v>68</v>
      </c>
      <c r="Q10" s="4">
        <v>3</v>
      </c>
      <c r="R10" s="4">
        <v>71</v>
      </c>
      <c r="S10" s="4">
        <v>85</v>
      </c>
      <c r="T10" s="4">
        <f t="shared" si="17"/>
        <v>14</v>
      </c>
      <c r="U10" s="4">
        <f t="shared" si="18"/>
        <v>1.1971830985915493</v>
      </c>
      <c r="V10" s="4">
        <f t="shared" si="19"/>
        <v>7</v>
      </c>
      <c r="W10" s="4">
        <v>311</v>
      </c>
      <c r="X10" s="4">
        <v>325</v>
      </c>
      <c r="Y10" s="5"/>
      <c r="Z10" s="4">
        <v>0.2397</v>
      </c>
      <c r="AA10" s="4">
        <v>46</v>
      </c>
      <c r="AB10" s="4">
        <v>63</v>
      </c>
      <c r="AC10" s="4">
        <v>3</v>
      </c>
      <c r="AD10" s="4">
        <v>71</v>
      </c>
      <c r="AE10" s="4">
        <v>75</v>
      </c>
      <c r="AF10" s="4">
        <f t="shared" si="20"/>
        <v>4</v>
      </c>
      <c r="AG10" s="4">
        <f t="shared" si="21"/>
        <v>1.056338028169014</v>
      </c>
      <c r="AH10" s="4">
        <f t="shared" si="22"/>
        <v>2</v>
      </c>
      <c r="AI10" s="4">
        <v>934</v>
      </c>
      <c r="AJ10" s="4">
        <v>938</v>
      </c>
      <c r="AK10" s="5"/>
      <c r="AL10" s="4">
        <f>0.2834+0.1377</f>
        <v>0.42109999999999997</v>
      </c>
      <c r="AM10" s="4">
        <v>22</v>
      </c>
      <c r="AN10" s="4">
        <v>67</v>
      </c>
      <c r="AO10" s="4">
        <v>68</v>
      </c>
      <c r="AP10" s="4">
        <f t="shared" si="23"/>
        <v>1.0149253731343284</v>
      </c>
      <c r="AQ10" s="4">
        <v>4</v>
      </c>
      <c r="AR10" s="4">
        <v>71</v>
      </c>
      <c r="AS10" s="4">
        <v>88</v>
      </c>
      <c r="AT10" s="4">
        <f t="shared" si="24"/>
        <v>17</v>
      </c>
      <c r="AU10" s="4">
        <f t="shared" si="25"/>
        <v>1.2394366197183098</v>
      </c>
      <c r="AV10" s="4">
        <f t="shared" si="26"/>
        <v>5.666666666666667</v>
      </c>
      <c r="AW10" s="4">
        <v>934</v>
      </c>
      <c r="AX10" s="4">
        <v>951</v>
      </c>
      <c r="AY10" s="5"/>
      <c r="AZ10" s="4">
        <f>0.4507+0.2774</f>
        <v>0.72809999999999997</v>
      </c>
      <c r="BA10" s="4">
        <v>28</v>
      </c>
      <c r="BB10" s="4">
        <v>81</v>
      </c>
      <c r="BC10" s="4">
        <f t="shared" si="27"/>
        <v>2.8928571428571428</v>
      </c>
      <c r="BD10" s="4">
        <v>63</v>
      </c>
      <c r="BE10" s="4">
        <v>4</v>
      </c>
      <c r="BF10" s="4">
        <v>71</v>
      </c>
      <c r="BG10" s="4">
        <v>88</v>
      </c>
      <c r="BH10" s="4">
        <f t="shared" si="28"/>
        <v>17</v>
      </c>
      <c r="BI10" s="4">
        <f t="shared" si="29"/>
        <v>1.2394366197183098</v>
      </c>
      <c r="BJ10" s="4">
        <f t="shared" si="30"/>
        <v>5.666666666666667</v>
      </c>
      <c r="BK10" s="4">
        <v>935</v>
      </c>
      <c r="BL10" s="4">
        <v>952</v>
      </c>
      <c r="BM10" s="5"/>
      <c r="BN10" s="5"/>
      <c r="BO10" s="4">
        <f t="shared" si="0"/>
        <v>5</v>
      </c>
      <c r="BP10" s="4">
        <f t="shared" si="1"/>
        <v>1.0793650793650793</v>
      </c>
      <c r="BQ10" s="4">
        <f t="shared" si="2"/>
        <v>0</v>
      </c>
      <c r="BR10" s="4">
        <f t="shared" si="3"/>
        <v>1</v>
      </c>
      <c r="BS10" s="4">
        <f t="shared" si="4"/>
        <v>4</v>
      </c>
      <c r="BT10" s="4">
        <f t="shared" si="5"/>
        <v>1.0634920634920635</v>
      </c>
      <c r="BU10">
        <f t="shared" si="31"/>
        <v>0.94029850746268662</v>
      </c>
      <c r="BV10" s="5"/>
      <c r="BW10" s="4">
        <f t="shared" si="6"/>
        <v>0.56922346236048449</v>
      </c>
      <c r="BX10" s="4">
        <f t="shared" si="7"/>
        <v>24</v>
      </c>
      <c r="BY10" s="4">
        <f t="shared" si="8"/>
        <v>2.0909090909090908</v>
      </c>
      <c r="BZ10" s="4">
        <f t="shared" si="32"/>
        <v>0</v>
      </c>
      <c r="CA10" s="5"/>
      <c r="CB10" s="4">
        <f t="shared" si="9"/>
        <v>0.31987651389218713</v>
      </c>
      <c r="CC10" s="4">
        <f t="shared" si="10"/>
        <v>1</v>
      </c>
      <c r="CD10" s="4">
        <f t="shared" si="11"/>
        <v>1.0149253731343284</v>
      </c>
      <c r="CE10" s="4">
        <f t="shared" si="33"/>
        <v>0.98529411764705888</v>
      </c>
      <c r="CF10" s="4">
        <f t="shared" si="12"/>
        <v>0</v>
      </c>
      <c r="CG10" s="4">
        <f t="shared" si="34"/>
        <v>1.5873015873015817E-2</v>
      </c>
      <c r="CH10" s="5"/>
      <c r="CI10" s="4">
        <f t="shared" si="35"/>
        <v>0.56922346236048449</v>
      </c>
      <c r="CJ10" s="5"/>
      <c r="CK10" s="4">
        <f t="shared" si="36"/>
        <v>0.18500206015657189</v>
      </c>
      <c r="CL10" s="4">
        <f t="shared" si="37"/>
        <v>5</v>
      </c>
      <c r="CM10" s="4">
        <f t="shared" si="38"/>
        <v>1.0793650793650793</v>
      </c>
      <c r="CN10" s="4">
        <f t="shared" si="39"/>
        <v>0.92647058823529416</v>
      </c>
      <c r="CO10" s="4">
        <f t="shared" si="13"/>
        <v>6</v>
      </c>
      <c r="CP10" s="4">
        <f t="shared" si="40"/>
        <v>0.7857142857142857</v>
      </c>
      <c r="CQ10" s="4">
        <f t="shared" si="41"/>
        <v>1.2727272727272727</v>
      </c>
      <c r="CR10" s="5"/>
      <c r="CS10" s="4">
        <f t="shared" si="42"/>
        <v>0.32921302018953441</v>
      </c>
      <c r="CT10" s="4">
        <f t="shared" si="43"/>
        <v>0</v>
      </c>
      <c r="CU10" s="4">
        <f t="shared" si="44"/>
        <v>18</v>
      </c>
      <c r="CV10" s="4">
        <f t="shared" si="45"/>
        <v>1.6428571428571428</v>
      </c>
      <c r="CW10" s="4">
        <f t="shared" si="46"/>
        <v>0.60869565217391308</v>
      </c>
    </row>
    <row r="11" spans="1:101" x14ac:dyDescent="0.35">
      <c r="A11">
        <v>6</v>
      </c>
      <c r="B11">
        <v>184</v>
      </c>
      <c r="C11">
        <v>333</v>
      </c>
      <c r="E11">
        <v>0.74380000000000002</v>
      </c>
      <c r="F11">
        <v>141</v>
      </c>
      <c r="G11">
        <v>9</v>
      </c>
      <c r="H11">
        <v>170</v>
      </c>
      <c r="I11">
        <v>353</v>
      </c>
      <c r="J11">
        <f t="shared" si="14"/>
        <v>183</v>
      </c>
      <c r="K11">
        <f t="shared" si="15"/>
        <v>2.0764705882352943</v>
      </c>
      <c r="L11">
        <f t="shared" si="16"/>
        <v>22.875</v>
      </c>
      <c r="N11">
        <v>0.45650000000000002</v>
      </c>
      <c r="O11">
        <v>50</v>
      </c>
      <c r="P11">
        <v>148</v>
      </c>
      <c r="Q11">
        <v>3</v>
      </c>
      <c r="R11">
        <v>170</v>
      </c>
      <c r="S11">
        <v>193</v>
      </c>
      <c r="T11">
        <f t="shared" si="17"/>
        <v>23</v>
      </c>
      <c r="U11">
        <f t="shared" si="18"/>
        <v>1.1352941176470588</v>
      </c>
      <c r="V11">
        <f t="shared" si="19"/>
        <v>11.5</v>
      </c>
      <c r="W11">
        <v>746</v>
      </c>
      <c r="X11">
        <v>769</v>
      </c>
      <c r="Z11">
        <v>0.60970000000000002</v>
      </c>
      <c r="AA11">
        <v>78</v>
      </c>
      <c r="AB11">
        <v>141</v>
      </c>
      <c r="AC11">
        <v>2</v>
      </c>
      <c r="AD11">
        <v>170</v>
      </c>
      <c r="AE11">
        <v>171</v>
      </c>
      <c r="AF11">
        <f t="shared" si="20"/>
        <v>1</v>
      </c>
      <c r="AG11">
        <f t="shared" si="21"/>
        <v>1.0058823529411764</v>
      </c>
      <c r="AH11">
        <f t="shared" si="22"/>
        <v>1</v>
      </c>
      <c r="AI11">
        <v>2231</v>
      </c>
      <c r="AJ11">
        <v>2232</v>
      </c>
      <c r="AL11">
        <f>1.4878+0.4997</f>
        <v>1.9875</v>
      </c>
      <c r="AM11">
        <v>50</v>
      </c>
      <c r="AN11">
        <v>148</v>
      </c>
      <c r="AO11">
        <v>158</v>
      </c>
      <c r="AP11">
        <f t="shared" si="23"/>
        <v>1.0675675675675675</v>
      </c>
      <c r="AQ11">
        <v>3</v>
      </c>
      <c r="AR11">
        <v>170</v>
      </c>
      <c r="AS11">
        <v>197</v>
      </c>
      <c r="AT11">
        <f t="shared" si="24"/>
        <v>27</v>
      </c>
      <c r="AU11">
        <f t="shared" si="25"/>
        <v>1.1588235294117648</v>
      </c>
      <c r="AV11">
        <f t="shared" si="26"/>
        <v>13.5</v>
      </c>
      <c r="AW11">
        <v>2231</v>
      </c>
      <c r="AX11">
        <v>2258</v>
      </c>
      <c r="AZ11">
        <f>0.8208+0.6469</f>
        <v>1.4677</v>
      </c>
      <c r="BA11">
        <v>59</v>
      </c>
      <c r="BB11">
        <v>168</v>
      </c>
      <c r="BC11">
        <f t="shared" si="27"/>
        <v>2.847457627118644</v>
      </c>
      <c r="BD11">
        <v>141</v>
      </c>
      <c r="BE11">
        <v>2</v>
      </c>
      <c r="BF11">
        <v>170</v>
      </c>
      <c r="BG11">
        <v>174</v>
      </c>
      <c r="BH11">
        <f t="shared" si="28"/>
        <v>4</v>
      </c>
      <c r="BI11">
        <f t="shared" si="29"/>
        <v>1.0235294117647058</v>
      </c>
      <c r="BJ11">
        <f t="shared" si="30"/>
        <v>4</v>
      </c>
      <c r="BK11">
        <v>2232</v>
      </c>
      <c r="BL11">
        <v>2236</v>
      </c>
      <c r="BO11">
        <f t="shared" si="0"/>
        <v>7</v>
      </c>
      <c r="BP11">
        <f t="shared" si="1"/>
        <v>1.0496453900709219</v>
      </c>
      <c r="BQ11">
        <f t="shared" si="2"/>
        <v>0</v>
      </c>
      <c r="BR11">
        <f t="shared" si="3"/>
        <v>1</v>
      </c>
      <c r="BS11">
        <f t="shared" si="4"/>
        <v>7</v>
      </c>
      <c r="BT11">
        <f t="shared" si="5"/>
        <v>1.0496453900709219</v>
      </c>
      <c r="BU11">
        <f t="shared" si="31"/>
        <v>0.95270270270270274</v>
      </c>
      <c r="BW11">
        <f t="shared" si="6"/>
        <v>0.30676729559748428</v>
      </c>
      <c r="BX11">
        <f t="shared" si="7"/>
        <v>28</v>
      </c>
      <c r="BY11">
        <f t="shared" si="8"/>
        <v>1.56</v>
      </c>
      <c r="BZ11">
        <f t="shared" si="32"/>
        <v>-1</v>
      </c>
      <c r="CB11">
        <f t="shared" si="9"/>
        <v>0.22968553459119498</v>
      </c>
      <c r="CC11">
        <f t="shared" si="10"/>
        <v>0</v>
      </c>
      <c r="CD11">
        <f t="shared" si="11"/>
        <v>1</v>
      </c>
      <c r="CE11">
        <f t="shared" si="33"/>
        <v>1</v>
      </c>
      <c r="CF11">
        <f t="shared" si="12"/>
        <v>0</v>
      </c>
      <c r="CG11">
        <f t="shared" si="34"/>
        <v>0</v>
      </c>
      <c r="CI11">
        <f t="shared" si="35"/>
        <v>0.30676729559748428</v>
      </c>
      <c r="CK11">
        <f t="shared" si="36"/>
        <v>0.31103086461810997</v>
      </c>
      <c r="CL11">
        <f t="shared" si="37"/>
        <v>7</v>
      </c>
      <c r="CM11">
        <f t="shared" si="38"/>
        <v>1.0496453900709219</v>
      </c>
      <c r="CN11">
        <f t="shared" si="39"/>
        <v>0.95270270270270274</v>
      </c>
      <c r="CO11">
        <f t="shared" si="13"/>
        <v>9</v>
      </c>
      <c r="CP11">
        <f t="shared" si="40"/>
        <v>0.84745762711864403</v>
      </c>
      <c r="CQ11">
        <f t="shared" si="41"/>
        <v>1.18</v>
      </c>
      <c r="CS11">
        <f t="shared" si="42"/>
        <v>0.41541186891054033</v>
      </c>
      <c r="CT11">
        <f t="shared" si="43"/>
        <v>0</v>
      </c>
      <c r="CU11">
        <f t="shared" si="44"/>
        <v>19</v>
      </c>
      <c r="CV11">
        <f t="shared" si="45"/>
        <v>1.3220338983050848</v>
      </c>
      <c r="CW11">
        <f t="shared" si="46"/>
        <v>0.75641025641025639</v>
      </c>
    </row>
    <row r="12" spans="1:101" x14ac:dyDescent="0.35">
      <c r="A12">
        <v>6</v>
      </c>
      <c r="B12">
        <v>182</v>
      </c>
      <c r="C12">
        <v>331</v>
      </c>
      <c r="E12">
        <v>1.0069999999999999</v>
      </c>
      <c r="F12">
        <v>139</v>
      </c>
      <c r="G12">
        <v>10</v>
      </c>
      <c r="H12">
        <v>171</v>
      </c>
      <c r="I12">
        <v>475</v>
      </c>
      <c r="J12">
        <f t="shared" si="14"/>
        <v>304</v>
      </c>
      <c r="K12">
        <f t="shared" si="15"/>
        <v>2.7777777777777777</v>
      </c>
      <c r="L12">
        <f t="shared" si="16"/>
        <v>33.777777777777779</v>
      </c>
      <c r="N12">
        <v>0.40389999999999998</v>
      </c>
      <c r="O12">
        <v>49</v>
      </c>
      <c r="P12">
        <v>145</v>
      </c>
      <c r="Q12">
        <v>3</v>
      </c>
      <c r="R12">
        <v>171</v>
      </c>
      <c r="S12">
        <v>183</v>
      </c>
      <c r="T12">
        <f t="shared" si="17"/>
        <v>12</v>
      </c>
      <c r="U12">
        <f t="shared" si="18"/>
        <v>1.0701754385964912</v>
      </c>
      <c r="V12">
        <f t="shared" si="19"/>
        <v>6</v>
      </c>
      <c r="W12">
        <v>747</v>
      </c>
      <c r="X12">
        <v>759</v>
      </c>
      <c r="Z12">
        <v>1.0129999999999999</v>
      </c>
      <c r="AA12">
        <v>71</v>
      </c>
      <c r="AB12">
        <v>139</v>
      </c>
      <c r="AC12">
        <v>3</v>
      </c>
      <c r="AD12">
        <v>171</v>
      </c>
      <c r="AE12">
        <v>177</v>
      </c>
      <c r="AF12">
        <f t="shared" si="20"/>
        <v>6</v>
      </c>
      <c r="AG12">
        <f t="shared" si="21"/>
        <v>1.0350877192982457</v>
      </c>
      <c r="AH12">
        <f t="shared" si="22"/>
        <v>3</v>
      </c>
      <c r="AI12">
        <v>2230</v>
      </c>
      <c r="AJ12">
        <v>2236</v>
      </c>
      <c r="AL12">
        <f>0.93+0.4134</f>
        <v>1.3433999999999999</v>
      </c>
      <c r="AM12">
        <v>49</v>
      </c>
      <c r="AN12">
        <v>142</v>
      </c>
      <c r="AO12">
        <v>149</v>
      </c>
      <c r="AP12">
        <f t="shared" si="23"/>
        <v>1.0492957746478873</v>
      </c>
      <c r="AQ12">
        <v>3</v>
      </c>
      <c r="AR12">
        <v>171</v>
      </c>
      <c r="AS12">
        <v>174</v>
      </c>
      <c r="AT12">
        <f t="shared" si="24"/>
        <v>3</v>
      </c>
      <c r="AU12">
        <f t="shared" si="25"/>
        <v>1.0175438596491229</v>
      </c>
      <c r="AV12">
        <f t="shared" si="26"/>
        <v>1.5</v>
      </c>
      <c r="AW12">
        <v>2230</v>
      </c>
      <c r="AX12">
        <v>2233</v>
      </c>
      <c r="AZ12">
        <f>1.1692+1.2103</f>
        <v>2.3795000000000002</v>
      </c>
      <c r="BA12">
        <v>52</v>
      </c>
      <c r="BB12">
        <v>173</v>
      </c>
      <c r="BC12">
        <f t="shared" si="27"/>
        <v>3.3269230769230771</v>
      </c>
      <c r="BD12">
        <v>139</v>
      </c>
      <c r="BE12">
        <v>3</v>
      </c>
      <c r="BF12">
        <v>171</v>
      </c>
      <c r="BG12">
        <v>175</v>
      </c>
      <c r="BH12">
        <f t="shared" si="28"/>
        <v>4</v>
      </c>
      <c r="BI12">
        <f t="shared" si="29"/>
        <v>1.0233918128654971</v>
      </c>
      <c r="BJ12">
        <f t="shared" si="30"/>
        <v>2</v>
      </c>
      <c r="BK12">
        <v>2231</v>
      </c>
      <c r="BL12">
        <v>2235</v>
      </c>
      <c r="BO12">
        <f t="shared" si="0"/>
        <v>6</v>
      </c>
      <c r="BP12">
        <f t="shared" si="1"/>
        <v>1.0431654676258992</v>
      </c>
      <c r="BQ12">
        <f t="shared" si="2"/>
        <v>0</v>
      </c>
      <c r="BR12">
        <f t="shared" si="3"/>
        <v>1</v>
      </c>
      <c r="BS12">
        <f t="shared" si="4"/>
        <v>3</v>
      </c>
      <c r="BT12">
        <f t="shared" si="5"/>
        <v>1.0215827338129497</v>
      </c>
      <c r="BU12">
        <f t="shared" si="31"/>
        <v>0.97887323943661975</v>
      </c>
      <c r="BW12">
        <f t="shared" si="6"/>
        <v>0.75405687062676785</v>
      </c>
      <c r="BX12">
        <f t="shared" si="7"/>
        <v>22</v>
      </c>
      <c r="BY12">
        <f t="shared" si="8"/>
        <v>1.4489795918367347</v>
      </c>
      <c r="BZ12">
        <f t="shared" si="32"/>
        <v>0</v>
      </c>
      <c r="CB12">
        <f t="shared" si="9"/>
        <v>0.300655054339735</v>
      </c>
      <c r="CC12">
        <f t="shared" si="10"/>
        <v>3</v>
      </c>
      <c r="CD12">
        <f t="shared" si="11"/>
        <v>1.0211267605633803</v>
      </c>
      <c r="CE12">
        <f t="shared" si="33"/>
        <v>0.97931034482758617</v>
      </c>
      <c r="CF12">
        <f t="shared" si="12"/>
        <v>0</v>
      </c>
      <c r="CG12">
        <f t="shared" si="34"/>
        <v>2.1582733812949506E-2</v>
      </c>
      <c r="CI12">
        <f t="shared" si="35"/>
        <v>0.75405687062676785</v>
      </c>
      <c r="CK12">
        <f t="shared" si="36"/>
        <v>0.16974154234082789</v>
      </c>
      <c r="CL12">
        <f t="shared" si="37"/>
        <v>6</v>
      </c>
      <c r="CM12">
        <f t="shared" si="38"/>
        <v>1.0431654676258992</v>
      </c>
      <c r="CN12">
        <f t="shared" si="39"/>
        <v>0.95862068965517244</v>
      </c>
      <c r="CO12">
        <f t="shared" si="13"/>
        <v>3</v>
      </c>
      <c r="CP12">
        <f t="shared" si="40"/>
        <v>0.94230769230769229</v>
      </c>
      <c r="CQ12">
        <f t="shared" si="41"/>
        <v>1.0612244897959184</v>
      </c>
      <c r="CS12">
        <f t="shared" si="42"/>
        <v>0.42571968901029622</v>
      </c>
      <c r="CT12">
        <f t="shared" si="43"/>
        <v>0</v>
      </c>
      <c r="CU12">
        <f t="shared" si="44"/>
        <v>19</v>
      </c>
      <c r="CV12">
        <f t="shared" si="45"/>
        <v>1.3653846153846154</v>
      </c>
      <c r="CW12">
        <f t="shared" si="46"/>
        <v>0.73239436619718312</v>
      </c>
    </row>
    <row r="13" spans="1:101" s="4" customFormat="1" x14ac:dyDescent="0.35">
      <c r="A13" s="4">
        <v>6</v>
      </c>
      <c r="B13" s="4">
        <v>189</v>
      </c>
      <c r="C13" s="4">
        <v>345</v>
      </c>
      <c r="D13" s="5"/>
      <c r="E13" s="4">
        <v>0.75</v>
      </c>
      <c r="F13" s="4">
        <v>153</v>
      </c>
      <c r="G13" s="4">
        <v>7</v>
      </c>
      <c r="H13" s="4">
        <v>165</v>
      </c>
      <c r="I13" s="4">
        <v>389</v>
      </c>
      <c r="J13" s="4">
        <f t="shared" si="14"/>
        <v>224</v>
      </c>
      <c r="K13" s="4">
        <f t="shared" si="15"/>
        <v>2.3575757575757574</v>
      </c>
      <c r="L13" s="4">
        <f t="shared" si="16"/>
        <v>37.333333333333336</v>
      </c>
      <c r="M13" s="5"/>
      <c r="N13" s="4">
        <v>0.56499999999999995</v>
      </c>
      <c r="O13" s="4">
        <v>56</v>
      </c>
      <c r="P13" s="4">
        <v>155</v>
      </c>
      <c r="Q13" s="4">
        <v>4</v>
      </c>
      <c r="R13" s="4">
        <v>165</v>
      </c>
      <c r="S13" s="4">
        <v>214</v>
      </c>
      <c r="T13" s="4">
        <f t="shared" si="17"/>
        <v>49</v>
      </c>
      <c r="U13" s="4">
        <f t="shared" si="18"/>
        <v>1.2969696969696969</v>
      </c>
      <c r="V13" s="4">
        <f t="shared" si="19"/>
        <v>16.333333333333332</v>
      </c>
      <c r="W13" s="4">
        <v>741</v>
      </c>
      <c r="X13" s="4">
        <v>790</v>
      </c>
      <c r="Y13" s="5"/>
      <c r="Z13" s="4">
        <v>0.72419999999999995</v>
      </c>
      <c r="AA13" s="4">
        <v>75</v>
      </c>
      <c r="AB13" s="4">
        <v>153</v>
      </c>
      <c r="AC13" s="4">
        <v>3</v>
      </c>
      <c r="AD13" s="4">
        <v>165</v>
      </c>
      <c r="AE13" s="4">
        <v>186</v>
      </c>
      <c r="AF13" s="4">
        <f t="shared" si="20"/>
        <v>21</v>
      </c>
      <c r="AG13" s="4">
        <f t="shared" si="21"/>
        <v>1.1272727272727272</v>
      </c>
      <c r="AH13" s="4">
        <f t="shared" si="22"/>
        <v>10.5</v>
      </c>
      <c r="AI13" s="4">
        <v>2238</v>
      </c>
      <c r="AJ13" s="4">
        <v>2259</v>
      </c>
      <c r="AK13" s="5"/>
      <c r="AL13" s="4">
        <f>0.7336+0.5547</f>
        <v>1.2883</v>
      </c>
      <c r="AM13" s="4">
        <v>56</v>
      </c>
      <c r="AN13" s="4">
        <v>153</v>
      </c>
      <c r="AO13" s="4">
        <v>155</v>
      </c>
      <c r="AP13" s="4">
        <f t="shared" si="23"/>
        <v>1.0130718954248366</v>
      </c>
      <c r="AQ13" s="4">
        <v>3</v>
      </c>
      <c r="AR13" s="4">
        <v>165</v>
      </c>
      <c r="AS13" s="4">
        <v>184</v>
      </c>
      <c r="AT13" s="4">
        <f t="shared" si="24"/>
        <v>19</v>
      </c>
      <c r="AU13" s="4">
        <f t="shared" si="25"/>
        <v>1.1151515151515152</v>
      </c>
      <c r="AV13" s="4">
        <f t="shared" si="26"/>
        <v>9.5</v>
      </c>
      <c r="AW13" s="4">
        <v>2238</v>
      </c>
      <c r="AX13" s="4">
        <v>2257</v>
      </c>
      <c r="AY13" s="5"/>
      <c r="AZ13" s="4">
        <f>0.6113+0.7578</f>
        <v>1.3691</v>
      </c>
      <c r="BA13" s="4">
        <v>56</v>
      </c>
      <c r="BB13" s="4">
        <v>171</v>
      </c>
      <c r="BC13" s="4">
        <f t="shared" si="27"/>
        <v>3.0535714285714284</v>
      </c>
      <c r="BD13" s="4">
        <v>153</v>
      </c>
      <c r="BE13" s="4">
        <v>2</v>
      </c>
      <c r="BF13" s="4">
        <v>165</v>
      </c>
      <c r="BG13" s="4">
        <v>193</v>
      </c>
      <c r="BH13" s="4">
        <f t="shared" si="28"/>
        <v>28</v>
      </c>
      <c r="BI13" s="4">
        <f t="shared" si="29"/>
        <v>1.1696969696969697</v>
      </c>
      <c r="BJ13" s="4">
        <f t="shared" si="30"/>
        <v>28</v>
      </c>
      <c r="BK13" s="4">
        <v>2239</v>
      </c>
      <c r="BL13" s="4">
        <v>2267</v>
      </c>
      <c r="BM13" s="5"/>
      <c r="BN13" s="5"/>
      <c r="BO13" s="4">
        <f t="shared" si="0"/>
        <v>2</v>
      </c>
      <c r="BP13" s="4">
        <f t="shared" si="1"/>
        <v>1.0130718954248366</v>
      </c>
      <c r="BQ13" s="4">
        <f t="shared" si="2"/>
        <v>0</v>
      </c>
      <c r="BR13" s="4">
        <f t="shared" si="3"/>
        <v>1</v>
      </c>
      <c r="BS13" s="4">
        <f t="shared" si="4"/>
        <v>0</v>
      </c>
      <c r="BT13" s="4">
        <f t="shared" si="5"/>
        <v>1</v>
      </c>
      <c r="BU13">
        <f t="shared" si="31"/>
        <v>1</v>
      </c>
      <c r="BV13" s="5"/>
      <c r="BW13" s="4">
        <f t="shared" si="6"/>
        <v>0.56213614841263682</v>
      </c>
      <c r="BX13" s="4">
        <f t="shared" si="7"/>
        <v>19</v>
      </c>
      <c r="BY13" s="4">
        <f t="shared" si="8"/>
        <v>1.3392857142857142</v>
      </c>
      <c r="BZ13" s="4">
        <f t="shared" si="32"/>
        <v>-1</v>
      </c>
      <c r="CA13" s="5"/>
      <c r="CB13" s="4">
        <f t="shared" si="9"/>
        <v>0.43856244663510047</v>
      </c>
      <c r="CC13" s="4">
        <f t="shared" si="10"/>
        <v>2</v>
      </c>
      <c r="CD13" s="4">
        <f t="shared" si="11"/>
        <v>1.0130718954248366</v>
      </c>
      <c r="CE13" s="4">
        <f t="shared" si="33"/>
        <v>0.98709677419354835</v>
      </c>
      <c r="CF13" s="4">
        <f t="shared" si="12"/>
        <v>0</v>
      </c>
      <c r="CG13" s="4">
        <f t="shared" si="34"/>
        <v>1.3071895424836555E-2</v>
      </c>
      <c r="CH13" s="5"/>
      <c r="CI13" s="4">
        <f t="shared" si="35"/>
        <v>0.56213614841263682</v>
      </c>
      <c r="CJ13" s="5"/>
      <c r="CK13" s="4">
        <f t="shared" si="36"/>
        <v>0.4126798626835147</v>
      </c>
      <c r="CL13" s="4">
        <f t="shared" si="37"/>
        <v>2</v>
      </c>
      <c r="CM13" s="4">
        <f t="shared" si="38"/>
        <v>1.0130718954248366</v>
      </c>
      <c r="CN13" s="4">
        <f t="shared" si="39"/>
        <v>0.98709677419354835</v>
      </c>
      <c r="CO13" s="4">
        <f t="shared" si="13"/>
        <v>0</v>
      </c>
      <c r="CP13" s="4">
        <f t="shared" si="40"/>
        <v>1</v>
      </c>
      <c r="CQ13" s="4">
        <f t="shared" si="41"/>
        <v>1</v>
      </c>
      <c r="CR13" s="5"/>
      <c r="CS13" s="4">
        <f t="shared" si="42"/>
        <v>0.52896063107150681</v>
      </c>
      <c r="CT13" s="4">
        <f t="shared" si="43"/>
        <v>0</v>
      </c>
      <c r="CU13" s="4">
        <f t="shared" si="44"/>
        <v>19</v>
      </c>
      <c r="CV13" s="4">
        <f t="shared" si="45"/>
        <v>1.3392857142857142</v>
      </c>
      <c r="CW13" s="4">
        <f t="shared" si="46"/>
        <v>0.7466666666666667</v>
      </c>
    </row>
    <row r="14" spans="1:101" x14ac:dyDescent="0.35">
      <c r="A14">
        <v>7</v>
      </c>
      <c r="B14">
        <v>278</v>
      </c>
      <c r="C14">
        <v>779</v>
      </c>
      <c r="E14">
        <v>5.5542999999999996</v>
      </c>
      <c r="F14">
        <v>331</v>
      </c>
      <c r="G14">
        <v>13</v>
      </c>
      <c r="H14">
        <v>418</v>
      </c>
      <c r="I14">
        <v>1343</v>
      </c>
      <c r="J14">
        <f t="shared" si="14"/>
        <v>925</v>
      </c>
      <c r="K14">
        <f t="shared" si="15"/>
        <v>3.2129186602870812</v>
      </c>
      <c r="L14">
        <f t="shared" si="16"/>
        <v>77.083333333333329</v>
      </c>
      <c r="N14">
        <v>2.5276000000000001</v>
      </c>
      <c r="O14">
        <v>95</v>
      </c>
      <c r="P14">
        <v>356</v>
      </c>
      <c r="Q14">
        <v>5</v>
      </c>
      <c r="R14">
        <v>418</v>
      </c>
      <c r="S14">
        <v>463</v>
      </c>
      <c r="T14">
        <f t="shared" si="17"/>
        <v>45</v>
      </c>
      <c r="U14">
        <f t="shared" si="18"/>
        <v>1.1076555023923444</v>
      </c>
      <c r="V14">
        <f t="shared" si="19"/>
        <v>11.25</v>
      </c>
      <c r="W14">
        <v>1762</v>
      </c>
      <c r="X14">
        <v>1807</v>
      </c>
      <c r="Z14">
        <v>3.0838000000000001</v>
      </c>
      <c r="AA14">
        <v>122</v>
      </c>
      <c r="AB14">
        <v>331</v>
      </c>
      <c r="AC14">
        <v>3</v>
      </c>
      <c r="AD14">
        <v>418</v>
      </c>
      <c r="AE14">
        <v>422</v>
      </c>
      <c r="AF14">
        <f t="shared" si="20"/>
        <v>4</v>
      </c>
      <c r="AG14">
        <f t="shared" si="21"/>
        <v>1.0095693779904307</v>
      </c>
      <c r="AH14">
        <f t="shared" si="22"/>
        <v>2</v>
      </c>
      <c r="AI14">
        <v>5229</v>
      </c>
      <c r="AJ14">
        <v>5233</v>
      </c>
      <c r="AL14">
        <f>6.9147+2.3509</f>
        <v>9.2655999999999992</v>
      </c>
      <c r="AM14">
        <v>95</v>
      </c>
      <c r="AN14">
        <v>353</v>
      </c>
      <c r="AO14">
        <v>363</v>
      </c>
      <c r="AP14">
        <f t="shared" si="23"/>
        <v>1.0283286118980171</v>
      </c>
      <c r="AQ14">
        <v>6</v>
      </c>
      <c r="AR14">
        <v>418</v>
      </c>
      <c r="AS14">
        <v>478</v>
      </c>
      <c r="AT14">
        <f t="shared" si="24"/>
        <v>60</v>
      </c>
      <c r="AU14">
        <f t="shared" si="25"/>
        <v>1.1435406698564594</v>
      </c>
      <c r="AV14">
        <f t="shared" si="26"/>
        <v>12</v>
      </c>
      <c r="AW14">
        <v>5229</v>
      </c>
      <c r="AX14">
        <v>5289</v>
      </c>
      <c r="AZ14">
        <f>4.187+3.2506</f>
        <v>7.4375999999999998</v>
      </c>
      <c r="BA14">
        <v>101</v>
      </c>
      <c r="BB14">
        <v>251</v>
      </c>
      <c r="BC14">
        <f t="shared" si="27"/>
        <v>2.4851485148514851</v>
      </c>
      <c r="BD14">
        <v>331</v>
      </c>
      <c r="BE14">
        <v>3</v>
      </c>
      <c r="BF14">
        <v>418</v>
      </c>
      <c r="BG14">
        <v>455</v>
      </c>
      <c r="BH14">
        <f t="shared" si="28"/>
        <v>37</v>
      </c>
      <c r="BI14">
        <f t="shared" si="29"/>
        <v>1.0885167464114833</v>
      </c>
      <c r="BJ14">
        <f t="shared" si="30"/>
        <v>18.5</v>
      </c>
      <c r="BK14">
        <v>5230</v>
      </c>
      <c r="BL14">
        <v>5267</v>
      </c>
      <c r="BO14">
        <f t="shared" si="0"/>
        <v>25</v>
      </c>
      <c r="BP14">
        <f t="shared" si="1"/>
        <v>1.0755287009063443</v>
      </c>
      <c r="BQ14">
        <f t="shared" si="2"/>
        <v>0</v>
      </c>
      <c r="BR14">
        <f t="shared" si="3"/>
        <v>1</v>
      </c>
      <c r="BS14">
        <f t="shared" si="4"/>
        <v>22</v>
      </c>
      <c r="BT14">
        <f t="shared" si="5"/>
        <v>1.066465256797583</v>
      </c>
      <c r="BU14">
        <f t="shared" si="31"/>
        <v>0.93767705382436262</v>
      </c>
      <c r="BW14">
        <f t="shared" si="6"/>
        <v>0.33282248316352964</v>
      </c>
      <c r="BX14">
        <f t="shared" si="7"/>
        <v>27</v>
      </c>
      <c r="BY14">
        <f t="shared" si="8"/>
        <v>1.2842105263157895</v>
      </c>
      <c r="BZ14">
        <f t="shared" si="32"/>
        <v>-2</v>
      </c>
      <c r="CB14">
        <f t="shared" si="9"/>
        <v>0.27279399067518567</v>
      </c>
      <c r="CC14">
        <f t="shared" si="10"/>
        <v>3</v>
      </c>
      <c r="CD14">
        <f t="shared" si="11"/>
        <v>1.0084985835694051</v>
      </c>
      <c r="CE14">
        <f t="shared" si="33"/>
        <v>0.9915730337078652</v>
      </c>
      <c r="CF14">
        <f t="shared" si="12"/>
        <v>0</v>
      </c>
      <c r="CG14">
        <f t="shared" si="34"/>
        <v>9.0634441087613649E-3</v>
      </c>
      <c r="CI14">
        <f t="shared" si="35"/>
        <v>0.33282248316352964</v>
      </c>
      <c r="CK14">
        <f t="shared" si="36"/>
        <v>0.33984080886307411</v>
      </c>
      <c r="CL14">
        <f t="shared" si="37"/>
        <v>25</v>
      </c>
      <c r="CM14">
        <f t="shared" si="38"/>
        <v>1.0755287009063443</v>
      </c>
      <c r="CN14">
        <f t="shared" si="39"/>
        <v>0.9297752808988764</v>
      </c>
      <c r="CO14">
        <f t="shared" si="13"/>
        <v>6</v>
      </c>
      <c r="CP14">
        <f t="shared" si="40"/>
        <v>0.94059405940594054</v>
      </c>
      <c r="CQ14">
        <f t="shared" si="41"/>
        <v>1.0631578947368421</v>
      </c>
      <c r="CS14">
        <f t="shared" si="42"/>
        <v>0.4146229966655911</v>
      </c>
      <c r="CT14">
        <f t="shared" si="43"/>
        <v>0</v>
      </c>
      <c r="CU14">
        <f t="shared" si="44"/>
        <v>21</v>
      </c>
      <c r="CV14">
        <f t="shared" si="45"/>
        <v>1.2079207920792079</v>
      </c>
      <c r="CW14">
        <f t="shared" si="46"/>
        <v>0.82786885245901642</v>
      </c>
    </row>
    <row r="15" spans="1:101" x14ac:dyDescent="0.35">
      <c r="A15">
        <v>7</v>
      </c>
      <c r="B15">
        <v>280</v>
      </c>
      <c r="C15">
        <v>778</v>
      </c>
      <c r="E15">
        <v>5.8628</v>
      </c>
      <c r="F15">
        <v>330</v>
      </c>
      <c r="G15">
        <v>15</v>
      </c>
      <c r="H15">
        <v>394</v>
      </c>
      <c r="I15">
        <v>1293</v>
      </c>
      <c r="J15">
        <f t="shared" si="14"/>
        <v>899</v>
      </c>
      <c r="K15">
        <f t="shared" si="15"/>
        <v>3.281725888324873</v>
      </c>
      <c r="L15">
        <f t="shared" si="16"/>
        <v>64.214285714285708</v>
      </c>
      <c r="N15">
        <v>2.2665000000000002</v>
      </c>
      <c r="O15">
        <v>90</v>
      </c>
      <c r="P15">
        <v>358</v>
      </c>
      <c r="Q15">
        <v>2</v>
      </c>
      <c r="R15">
        <v>394</v>
      </c>
      <c r="S15">
        <v>534</v>
      </c>
      <c r="T15">
        <f t="shared" si="17"/>
        <v>140</v>
      </c>
      <c r="U15">
        <f t="shared" si="18"/>
        <v>1.3553299492385786</v>
      </c>
      <c r="V15">
        <f t="shared" si="19"/>
        <v>140</v>
      </c>
      <c r="W15">
        <v>1738</v>
      </c>
      <c r="X15">
        <v>1878</v>
      </c>
      <c r="Z15">
        <v>2.7585999999999999</v>
      </c>
      <c r="AA15">
        <v>126</v>
      </c>
      <c r="AB15">
        <v>330</v>
      </c>
      <c r="AC15">
        <v>2</v>
      </c>
      <c r="AD15">
        <v>394</v>
      </c>
      <c r="AE15">
        <v>396</v>
      </c>
      <c r="AF15">
        <f t="shared" si="20"/>
        <v>2</v>
      </c>
      <c r="AG15">
        <f t="shared" si="21"/>
        <v>1.0050761421319796</v>
      </c>
      <c r="AH15">
        <f t="shared" si="22"/>
        <v>2</v>
      </c>
      <c r="AI15">
        <v>5204</v>
      </c>
      <c r="AJ15">
        <v>5206</v>
      </c>
      <c r="AL15">
        <f>3.5377+2.141</f>
        <v>5.6787000000000001</v>
      </c>
      <c r="AM15">
        <v>90</v>
      </c>
      <c r="AN15">
        <v>352</v>
      </c>
      <c r="AO15">
        <v>365</v>
      </c>
      <c r="AP15">
        <f t="shared" si="23"/>
        <v>1.0369318181818181</v>
      </c>
      <c r="AQ15">
        <v>3</v>
      </c>
      <c r="AR15">
        <v>394</v>
      </c>
      <c r="AS15">
        <v>431</v>
      </c>
      <c r="AT15">
        <f t="shared" si="24"/>
        <v>37</v>
      </c>
      <c r="AU15">
        <f t="shared" si="25"/>
        <v>1.0939086294416243</v>
      </c>
      <c r="AV15">
        <f t="shared" si="26"/>
        <v>18.5</v>
      </c>
      <c r="AW15">
        <v>5204</v>
      </c>
      <c r="AX15">
        <v>5241</v>
      </c>
      <c r="AZ15">
        <f>3.8583+2.9693</f>
        <v>6.8276000000000003</v>
      </c>
      <c r="BA15">
        <v>102</v>
      </c>
      <c r="BB15">
        <v>268</v>
      </c>
      <c r="BC15">
        <f t="shared" si="27"/>
        <v>2.6274509803921569</v>
      </c>
      <c r="BD15">
        <v>330</v>
      </c>
      <c r="BE15">
        <v>3</v>
      </c>
      <c r="BF15">
        <v>394</v>
      </c>
      <c r="BG15">
        <v>426</v>
      </c>
      <c r="BH15">
        <f t="shared" si="28"/>
        <v>32</v>
      </c>
      <c r="BI15">
        <f t="shared" si="29"/>
        <v>1.0812182741116751</v>
      </c>
      <c r="BJ15">
        <f t="shared" si="30"/>
        <v>16</v>
      </c>
      <c r="BK15">
        <v>5205</v>
      </c>
      <c r="BL15">
        <v>5237</v>
      </c>
      <c r="BO15">
        <f t="shared" si="0"/>
        <v>28</v>
      </c>
      <c r="BP15">
        <f t="shared" si="1"/>
        <v>1.084848484848485</v>
      </c>
      <c r="BQ15">
        <f t="shared" si="2"/>
        <v>0</v>
      </c>
      <c r="BR15">
        <f t="shared" si="3"/>
        <v>1</v>
      </c>
      <c r="BS15">
        <f t="shared" si="4"/>
        <v>22</v>
      </c>
      <c r="BT15">
        <f t="shared" si="5"/>
        <v>1.0666666666666667</v>
      </c>
      <c r="BU15">
        <f t="shared" si="31"/>
        <v>0.9375</v>
      </c>
      <c r="BW15">
        <f t="shared" si="6"/>
        <v>0.48578019617165896</v>
      </c>
      <c r="BX15">
        <f t="shared" si="7"/>
        <v>36</v>
      </c>
      <c r="BY15">
        <f t="shared" si="8"/>
        <v>1.4</v>
      </c>
      <c r="BZ15">
        <f t="shared" si="32"/>
        <v>0</v>
      </c>
      <c r="CB15">
        <f t="shared" si="9"/>
        <v>0.39912303872365157</v>
      </c>
      <c r="CC15">
        <f t="shared" si="10"/>
        <v>6</v>
      </c>
      <c r="CD15">
        <f t="shared" si="11"/>
        <v>1.0170454545454546</v>
      </c>
      <c r="CE15">
        <f t="shared" si="33"/>
        <v>0.98324022346368711</v>
      </c>
      <c r="CF15">
        <f t="shared" si="12"/>
        <v>0</v>
      </c>
      <c r="CG15">
        <f t="shared" si="34"/>
        <v>1.8181818181818299E-2</v>
      </c>
      <c r="CI15">
        <f t="shared" si="35"/>
        <v>0.48578019617165896</v>
      </c>
      <c r="CK15">
        <f t="shared" si="36"/>
        <v>0.33196145058292814</v>
      </c>
      <c r="CL15">
        <f t="shared" si="37"/>
        <v>28</v>
      </c>
      <c r="CM15">
        <f t="shared" si="38"/>
        <v>1.084848484848485</v>
      </c>
      <c r="CN15">
        <f t="shared" si="39"/>
        <v>0.92178770949720668</v>
      </c>
      <c r="CO15">
        <f t="shared" si="13"/>
        <v>12</v>
      </c>
      <c r="CP15">
        <f t="shared" si="40"/>
        <v>0.88235294117647056</v>
      </c>
      <c r="CQ15">
        <f t="shared" si="41"/>
        <v>1.1333333333333333</v>
      </c>
      <c r="CS15">
        <f t="shared" si="42"/>
        <v>0.40403655750190398</v>
      </c>
      <c r="CT15">
        <f t="shared" si="43"/>
        <v>0</v>
      </c>
      <c r="CU15">
        <f t="shared" si="44"/>
        <v>24</v>
      </c>
      <c r="CV15">
        <f t="shared" si="45"/>
        <v>1.2352941176470589</v>
      </c>
      <c r="CW15">
        <f t="shared" si="46"/>
        <v>0.80952380952380953</v>
      </c>
    </row>
    <row r="16" spans="1:101" s="4" customFormat="1" x14ac:dyDescent="0.35">
      <c r="A16" s="4">
        <v>7</v>
      </c>
      <c r="B16" s="4">
        <v>281</v>
      </c>
      <c r="C16" s="4">
        <v>780</v>
      </c>
      <c r="D16" s="5"/>
      <c r="E16" s="4">
        <v>3.9165000000000001</v>
      </c>
      <c r="F16" s="4">
        <v>332</v>
      </c>
      <c r="G16" s="4">
        <v>8</v>
      </c>
      <c r="H16" s="4">
        <v>399</v>
      </c>
      <c r="I16" s="4">
        <v>1005</v>
      </c>
      <c r="J16" s="4">
        <f t="shared" si="14"/>
        <v>606</v>
      </c>
      <c r="K16" s="4">
        <f t="shared" si="15"/>
        <v>2.518796992481203</v>
      </c>
      <c r="L16" s="4">
        <f t="shared" si="16"/>
        <v>86.571428571428569</v>
      </c>
      <c r="M16" s="5"/>
      <c r="N16" s="4">
        <v>2.3428</v>
      </c>
      <c r="O16" s="4">
        <v>85</v>
      </c>
      <c r="P16" s="4">
        <v>352</v>
      </c>
      <c r="Q16" s="4">
        <v>3</v>
      </c>
      <c r="R16" s="4">
        <v>399</v>
      </c>
      <c r="S16" s="4">
        <v>554</v>
      </c>
      <c r="T16" s="4">
        <f t="shared" si="17"/>
        <v>155</v>
      </c>
      <c r="U16" s="4">
        <f t="shared" si="18"/>
        <v>1.3884711779448622</v>
      </c>
      <c r="V16" s="4">
        <f t="shared" si="19"/>
        <v>77.5</v>
      </c>
      <c r="W16" s="4">
        <v>1743</v>
      </c>
      <c r="X16" s="4">
        <v>1898</v>
      </c>
      <c r="Y16" s="5"/>
      <c r="Z16" s="4">
        <v>1.9751000000000001</v>
      </c>
      <c r="AA16" s="4">
        <v>149</v>
      </c>
      <c r="AB16" s="4">
        <v>332</v>
      </c>
      <c r="AC16" s="4">
        <v>1</v>
      </c>
      <c r="AD16" s="4">
        <v>399</v>
      </c>
      <c r="AE16" s="4">
        <v>399</v>
      </c>
      <c r="AF16" s="4">
        <f t="shared" si="20"/>
        <v>0</v>
      </c>
      <c r="AG16" s="4">
        <f t="shared" si="21"/>
        <v>1</v>
      </c>
      <c r="AH16" s="4" t="e">
        <f t="shared" si="22"/>
        <v>#DIV/0!</v>
      </c>
      <c r="AI16" s="4">
        <v>5211</v>
      </c>
      <c r="AJ16" s="4">
        <v>5211</v>
      </c>
      <c r="AK16" s="5"/>
      <c r="AL16" s="4">
        <f>7.7067+2.3837</f>
        <v>10.090399999999999</v>
      </c>
      <c r="AM16" s="4">
        <v>85</v>
      </c>
      <c r="AN16" s="4">
        <v>352</v>
      </c>
      <c r="AO16" s="4">
        <v>354</v>
      </c>
      <c r="AP16" s="4">
        <f t="shared" si="23"/>
        <v>1.0056818181818181</v>
      </c>
      <c r="AQ16" s="4">
        <v>5</v>
      </c>
      <c r="AR16" s="4">
        <v>399</v>
      </c>
      <c r="AS16" s="4">
        <v>525</v>
      </c>
      <c r="AT16" s="4">
        <f t="shared" si="24"/>
        <v>126</v>
      </c>
      <c r="AU16" s="4">
        <f t="shared" si="25"/>
        <v>1.3157894736842106</v>
      </c>
      <c r="AV16" s="4">
        <f t="shared" si="26"/>
        <v>31.5</v>
      </c>
      <c r="AW16" s="4">
        <v>5211</v>
      </c>
      <c r="AX16" s="4">
        <v>5337</v>
      </c>
      <c r="AY16" s="5"/>
      <c r="AZ16" s="4">
        <f>3.4916+2.2852</f>
        <v>5.7767999999999997</v>
      </c>
      <c r="BA16" s="4">
        <v>107</v>
      </c>
      <c r="BB16" s="4">
        <v>332</v>
      </c>
      <c r="BC16" s="4">
        <f t="shared" si="27"/>
        <v>3.1028037383177569</v>
      </c>
      <c r="BD16" s="4">
        <v>332</v>
      </c>
      <c r="BE16" s="4">
        <v>2</v>
      </c>
      <c r="BF16" s="4">
        <v>399</v>
      </c>
      <c r="BG16" s="4">
        <v>474</v>
      </c>
      <c r="BH16" s="4">
        <f t="shared" si="28"/>
        <v>75</v>
      </c>
      <c r="BI16" s="4">
        <f t="shared" si="29"/>
        <v>1.1879699248120301</v>
      </c>
      <c r="BJ16" s="4">
        <f t="shared" si="30"/>
        <v>75</v>
      </c>
      <c r="BK16" s="4">
        <v>5212</v>
      </c>
      <c r="BL16" s="4">
        <v>5287</v>
      </c>
      <c r="BM16" s="5"/>
      <c r="BN16" s="5"/>
      <c r="BO16" s="4">
        <f t="shared" si="0"/>
        <v>20</v>
      </c>
      <c r="BP16" s="4">
        <f t="shared" si="1"/>
        <v>1.0602409638554218</v>
      </c>
      <c r="BQ16" s="4">
        <f t="shared" si="2"/>
        <v>0</v>
      </c>
      <c r="BR16" s="4">
        <f t="shared" si="3"/>
        <v>1</v>
      </c>
      <c r="BS16" s="4">
        <f t="shared" si="4"/>
        <v>20</v>
      </c>
      <c r="BT16" s="4">
        <f t="shared" si="5"/>
        <v>1.0602409638554218</v>
      </c>
      <c r="BU16">
        <f t="shared" si="31"/>
        <v>0.94318181818181823</v>
      </c>
      <c r="BV16" s="5"/>
      <c r="BW16" s="4">
        <f t="shared" si="6"/>
        <v>0.19574050582732105</v>
      </c>
      <c r="BX16" s="4">
        <f t="shared" si="7"/>
        <v>64</v>
      </c>
      <c r="BY16" s="4">
        <f t="shared" si="8"/>
        <v>1.7529411764705882</v>
      </c>
      <c r="BZ16" s="4">
        <f t="shared" si="32"/>
        <v>-2</v>
      </c>
      <c r="CA16" s="5"/>
      <c r="CB16" s="4">
        <f t="shared" si="9"/>
        <v>0.23218108300959331</v>
      </c>
      <c r="CC16" s="4">
        <f t="shared" si="10"/>
        <v>0</v>
      </c>
      <c r="CD16" s="4">
        <f t="shared" si="11"/>
        <v>1</v>
      </c>
      <c r="CE16" s="4">
        <f t="shared" si="33"/>
        <v>1</v>
      </c>
      <c r="CF16" s="4">
        <f t="shared" si="12"/>
        <v>0</v>
      </c>
      <c r="CG16" s="4">
        <f t="shared" si="34"/>
        <v>0</v>
      </c>
      <c r="CH16" s="5"/>
      <c r="CI16" s="4">
        <f t="shared" si="35"/>
        <v>0.19574050582732105</v>
      </c>
      <c r="CJ16" s="5"/>
      <c r="CK16" s="4">
        <f t="shared" si="36"/>
        <v>0.40555324747264926</v>
      </c>
      <c r="CL16" s="4">
        <f t="shared" si="37"/>
        <v>20</v>
      </c>
      <c r="CM16" s="4">
        <f t="shared" si="38"/>
        <v>1.0602409638554218</v>
      </c>
      <c r="CN16" s="4">
        <f t="shared" si="39"/>
        <v>0.94318181818181823</v>
      </c>
      <c r="CO16" s="4">
        <f t="shared" si="13"/>
        <v>22</v>
      </c>
      <c r="CP16" s="4">
        <f t="shared" si="40"/>
        <v>0.79439252336448596</v>
      </c>
      <c r="CQ16" s="4">
        <f t="shared" si="41"/>
        <v>1.2588235294117647</v>
      </c>
      <c r="CR16" s="5"/>
      <c r="CS16" s="4">
        <f t="shared" si="42"/>
        <v>0.34190209112311315</v>
      </c>
      <c r="CT16" s="4">
        <f t="shared" si="43"/>
        <v>0</v>
      </c>
      <c r="CU16" s="4">
        <f t="shared" si="44"/>
        <v>42</v>
      </c>
      <c r="CV16" s="4">
        <f t="shared" si="45"/>
        <v>1.3925233644859814</v>
      </c>
      <c r="CW16" s="4">
        <f t="shared" si="46"/>
        <v>0.71812080536912748</v>
      </c>
    </row>
    <row r="17" spans="1:101" x14ac:dyDescent="0.35">
      <c r="A17">
        <v>8</v>
      </c>
      <c r="B17">
        <v>372</v>
      </c>
      <c r="C17">
        <v>1786</v>
      </c>
      <c r="E17">
        <v>41.728299999999997</v>
      </c>
      <c r="F17">
        <v>762</v>
      </c>
      <c r="G17">
        <v>15</v>
      </c>
      <c r="H17">
        <v>934</v>
      </c>
      <c r="I17">
        <v>3900</v>
      </c>
      <c r="J17">
        <f t="shared" si="14"/>
        <v>2966</v>
      </c>
      <c r="K17">
        <f t="shared" si="15"/>
        <v>4.1755888650963602</v>
      </c>
      <c r="L17">
        <f t="shared" si="16"/>
        <v>211.85714285714286</v>
      </c>
      <c r="N17">
        <v>9.4909999999999997</v>
      </c>
      <c r="O17">
        <v>139</v>
      </c>
      <c r="P17">
        <v>785</v>
      </c>
      <c r="Q17">
        <v>2</v>
      </c>
      <c r="R17">
        <v>934</v>
      </c>
      <c r="S17">
        <v>993</v>
      </c>
      <c r="T17">
        <f t="shared" si="17"/>
        <v>59</v>
      </c>
      <c r="U17">
        <f t="shared" si="18"/>
        <v>1.063169164882227</v>
      </c>
      <c r="V17">
        <f t="shared" si="19"/>
        <v>59</v>
      </c>
      <c r="W17">
        <v>4006</v>
      </c>
      <c r="X17">
        <v>4065</v>
      </c>
      <c r="Z17">
        <v>9.8888999999999996</v>
      </c>
      <c r="AA17">
        <v>189</v>
      </c>
      <c r="AB17">
        <v>762</v>
      </c>
      <c r="AC17">
        <v>1</v>
      </c>
      <c r="AD17">
        <v>934</v>
      </c>
      <c r="AE17">
        <v>934</v>
      </c>
      <c r="AF17">
        <f t="shared" si="20"/>
        <v>0</v>
      </c>
      <c r="AG17">
        <f t="shared" si="21"/>
        <v>1</v>
      </c>
      <c r="AH17" t="e">
        <f t="shared" si="22"/>
        <v>#DIV/0!</v>
      </c>
      <c r="AI17">
        <v>11936</v>
      </c>
      <c r="AJ17">
        <v>11936</v>
      </c>
      <c r="AL17">
        <f>13.1157+9.7381</f>
        <v>22.8538</v>
      </c>
      <c r="AM17">
        <v>139</v>
      </c>
      <c r="AN17">
        <v>779</v>
      </c>
      <c r="AO17">
        <v>814</v>
      </c>
      <c r="AP17">
        <f t="shared" si="23"/>
        <v>1.0449293966623876</v>
      </c>
      <c r="AQ17">
        <v>2</v>
      </c>
      <c r="AR17">
        <v>934</v>
      </c>
      <c r="AS17">
        <v>982</v>
      </c>
      <c r="AT17">
        <f t="shared" si="24"/>
        <v>48</v>
      </c>
      <c r="AU17">
        <f t="shared" si="25"/>
        <v>1.0513918629550321</v>
      </c>
      <c r="AV17">
        <f t="shared" si="26"/>
        <v>48</v>
      </c>
      <c r="AW17">
        <v>11936</v>
      </c>
      <c r="AX17">
        <v>11984</v>
      </c>
      <c r="AZ17">
        <f>14.8195+11.8056</f>
        <v>26.6251</v>
      </c>
      <c r="BA17">
        <v>152</v>
      </c>
      <c r="BB17">
        <v>287</v>
      </c>
      <c r="BC17">
        <f t="shared" si="27"/>
        <v>1.888157894736842</v>
      </c>
      <c r="BD17">
        <v>762</v>
      </c>
      <c r="BE17">
        <v>2</v>
      </c>
      <c r="BF17">
        <v>934</v>
      </c>
      <c r="BG17">
        <v>1015</v>
      </c>
      <c r="BH17">
        <f t="shared" si="28"/>
        <v>81</v>
      </c>
      <c r="BI17">
        <f t="shared" si="29"/>
        <v>1.0867237687366167</v>
      </c>
      <c r="BJ17">
        <f t="shared" si="30"/>
        <v>81</v>
      </c>
      <c r="BK17">
        <v>11937</v>
      </c>
      <c r="BL17">
        <v>12018</v>
      </c>
      <c r="BO17">
        <f t="shared" si="0"/>
        <v>23</v>
      </c>
      <c r="BP17">
        <f t="shared" si="1"/>
        <v>1.0301837270341208</v>
      </c>
      <c r="BQ17">
        <f t="shared" si="2"/>
        <v>0</v>
      </c>
      <c r="BR17">
        <f t="shared" si="3"/>
        <v>1</v>
      </c>
      <c r="BS17">
        <f t="shared" si="4"/>
        <v>17</v>
      </c>
      <c r="BT17">
        <f t="shared" si="5"/>
        <v>1.0223097112860893</v>
      </c>
      <c r="BU17">
        <f>F17/AN17</f>
        <v>0.97817715019255458</v>
      </c>
      <c r="BW17">
        <f t="shared" si="6"/>
        <v>0.43270265776369793</v>
      </c>
      <c r="BX17">
        <f t="shared" si="7"/>
        <v>50</v>
      </c>
      <c r="BY17">
        <f t="shared" si="8"/>
        <v>1.3597122302158273</v>
      </c>
      <c r="BZ17">
        <f t="shared" si="32"/>
        <v>-1</v>
      </c>
      <c r="CB17">
        <f t="shared" si="9"/>
        <v>0.41529198645301874</v>
      </c>
      <c r="CC17">
        <f t="shared" si="10"/>
        <v>6</v>
      </c>
      <c r="CD17">
        <f t="shared" si="11"/>
        <v>1.0077021822849808</v>
      </c>
      <c r="CE17">
        <f t="shared" si="33"/>
        <v>0.99235668789808917</v>
      </c>
      <c r="CF17">
        <f t="shared" si="12"/>
        <v>0</v>
      </c>
      <c r="CG17">
        <f t="shared" si="34"/>
        <v>7.8740157480314821E-3</v>
      </c>
      <c r="CI17">
        <f t="shared" si="35"/>
        <v>0.43270265776369793</v>
      </c>
      <c r="CK17">
        <f t="shared" si="36"/>
        <v>0.35646814472058319</v>
      </c>
      <c r="CL17">
        <f t="shared" si="37"/>
        <v>23</v>
      </c>
      <c r="CM17">
        <f t="shared" si="38"/>
        <v>1.0301837270341208</v>
      </c>
      <c r="CN17">
        <f t="shared" si="39"/>
        <v>0.97070063694267517</v>
      </c>
      <c r="CO17">
        <f t="shared" si="13"/>
        <v>13</v>
      </c>
      <c r="CP17">
        <f t="shared" si="40"/>
        <v>0.91447368421052633</v>
      </c>
      <c r="CQ17">
        <f t="shared" si="41"/>
        <v>1.0935251798561152</v>
      </c>
      <c r="CS17">
        <f t="shared" si="42"/>
        <v>0.37141268952980455</v>
      </c>
      <c r="CT17">
        <f t="shared" si="43"/>
        <v>0</v>
      </c>
      <c r="CU17">
        <f t="shared" si="44"/>
        <v>37</v>
      </c>
      <c r="CV17">
        <f t="shared" si="45"/>
        <v>1.243421052631579</v>
      </c>
      <c r="CW17">
        <f t="shared" si="46"/>
        <v>0.80423280423280419</v>
      </c>
    </row>
    <row r="18" spans="1:101" x14ac:dyDescent="0.35">
      <c r="A18">
        <v>8</v>
      </c>
      <c r="B18">
        <v>377</v>
      </c>
      <c r="C18">
        <v>1816</v>
      </c>
      <c r="E18">
        <v>60.607700000000001</v>
      </c>
      <c r="F18">
        <v>792</v>
      </c>
      <c r="G18">
        <v>33</v>
      </c>
      <c r="H18">
        <v>945</v>
      </c>
      <c r="I18">
        <v>4542</v>
      </c>
      <c r="J18">
        <f t="shared" si="14"/>
        <v>3597</v>
      </c>
      <c r="K18">
        <f t="shared" si="15"/>
        <v>4.8063492063492061</v>
      </c>
      <c r="L18">
        <f t="shared" si="16"/>
        <v>112.40625</v>
      </c>
      <c r="N18">
        <v>13.8941</v>
      </c>
      <c r="O18">
        <v>125</v>
      </c>
      <c r="P18">
        <v>876</v>
      </c>
      <c r="Q18">
        <v>4</v>
      </c>
      <c r="R18">
        <v>945</v>
      </c>
      <c r="S18">
        <v>1326</v>
      </c>
      <c r="T18">
        <f t="shared" si="17"/>
        <v>381</v>
      </c>
      <c r="U18">
        <f t="shared" si="18"/>
        <v>1.4031746031746031</v>
      </c>
      <c r="V18">
        <f t="shared" si="19"/>
        <v>127</v>
      </c>
      <c r="W18">
        <v>4017</v>
      </c>
      <c r="X18">
        <v>4398</v>
      </c>
      <c r="Z18">
        <v>10.8576</v>
      </c>
      <c r="AA18">
        <v>218</v>
      </c>
      <c r="AB18">
        <v>792</v>
      </c>
      <c r="AC18">
        <v>1</v>
      </c>
      <c r="AD18">
        <v>945</v>
      </c>
      <c r="AE18">
        <v>945</v>
      </c>
      <c r="AF18">
        <f t="shared" si="20"/>
        <v>0</v>
      </c>
      <c r="AG18">
        <f t="shared" si="21"/>
        <v>1</v>
      </c>
      <c r="AH18" t="e">
        <f t="shared" si="22"/>
        <v>#DIV/0!</v>
      </c>
      <c r="AI18">
        <v>11977</v>
      </c>
      <c r="AJ18">
        <v>11977</v>
      </c>
      <c r="AL18">
        <f>140.5716+13.7059</f>
        <v>154.27749999999997</v>
      </c>
      <c r="AM18">
        <v>125</v>
      </c>
      <c r="AN18">
        <v>871</v>
      </c>
      <c r="AO18">
        <v>881</v>
      </c>
      <c r="AP18">
        <f t="shared" si="23"/>
        <v>1.0114810562571757</v>
      </c>
      <c r="AQ18">
        <v>6</v>
      </c>
      <c r="AR18">
        <v>945</v>
      </c>
      <c r="AS18">
        <v>1494</v>
      </c>
      <c r="AT18">
        <f t="shared" si="24"/>
        <v>549</v>
      </c>
      <c r="AU18">
        <f t="shared" si="25"/>
        <v>1.5809523809523809</v>
      </c>
      <c r="AV18">
        <f t="shared" si="26"/>
        <v>109.8</v>
      </c>
      <c r="AW18">
        <v>11977</v>
      </c>
      <c r="AX18">
        <v>12526</v>
      </c>
      <c r="AZ18">
        <f>78.2475+11.7099</f>
        <v>89.957400000000007</v>
      </c>
      <c r="BA18">
        <v>158</v>
      </c>
      <c r="BB18">
        <v>343</v>
      </c>
      <c r="BC18">
        <f>BB18/BA18</f>
        <v>2.1708860759493671</v>
      </c>
      <c r="BD18">
        <v>792</v>
      </c>
      <c r="BE18">
        <v>4</v>
      </c>
      <c r="BF18">
        <v>945</v>
      </c>
      <c r="BG18">
        <v>1326</v>
      </c>
      <c r="BH18">
        <f t="shared" si="28"/>
        <v>381</v>
      </c>
      <c r="BI18">
        <f t="shared" si="29"/>
        <v>1.4031746031746031</v>
      </c>
      <c r="BJ18">
        <f t="shared" si="30"/>
        <v>127</v>
      </c>
      <c r="BK18">
        <v>11978</v>
      </c>
      <c r="BL18">
        <v>12359</v>
      </c>
      <c r="BO18">
        <f t="shared" si="0"/>
        <v>84</v>
      </c>
      <c r="BP18">
        <f t="shared" si="1"/>
        <v>1.106060606060606</v>
      </c>
      <c r="BQ18">
        <f t="shared" si="2"/>
        <v>0</v>
      </c>
      <c r="BR18">
        <f t="shared" si="3"/>
        <v>1</v>
      </c>
      <c r="BS18">
        <f t="shared" si="4"/>
        <v>79</v>
      </c>
      <c r="BT18">
        <f t="shared" si="5"/>
        <v>1.0997474747474747</v>
      </c>
      <c r="BU18">
        <f t="shared" si="31"/>
        <v>0.90929965556831227</v>
      </c>
      <c r="BW18">
        <f t="shared" si="6"/>
        <v>7.0377080261217626E-2</v>
      </c>
      <c r="BX18">
        <f t="shared" si="7"/>
        <v>93</v>
      </c>
      <c r="BY18">
        <f t="shared" si="8"/>
        <v>1.744</v>
      </c>
      <c r="BZ18">
        <f t="shared" si="32"/>
        <v>-3</v>
      </c>
      <c r="CB18">
        <f t="shared" si="9"/>
        <v>9.0059146667530926E-2</v>
      </c>
      <c r="CC18">
        <f t="shared" si="10"/>
        <v>5</v>
      </c>
      <c r="CD18">
        <f t="shared" si="11"/>
        <v>1.0057405281285878</v>
      </c>
      <c r="CE18">
        <f t="shared" si="33"/>
        <v>0.99429223744292239</v>
      </c>
      <c r="CF18">
        <f t="shared" si="12"/>
        <v>0</v>
      </c>
      <c r="CG18">
        <f t="shared" si="34"/>
        <v>6.3131313131312705E-3</v>
      </c>
      <c r="CI18">
        <f t="shared" si="35"/>
        <v>7.0377080261217626E-2</v>
      </c>
      <c r="CK18">
        <f t="shared" si="36"/>
        <v>0.15445199616707461</v>
      </c>
      <c r="CL18">
        <f t="shared" si="37"/>
        <v>84</v>
      </c>
      <c r="CM18">
        <f t="shared" si="38"/>
        <v>1.106060606060606</v>
      </c>
      <c r="CN18">
        <f t="shared" si="39"/>
        <v>0.90410958904109584</v>
      </c>
      <c r="CO18">
        <f t="shared" si="13"/>
        <v>33</v>
      </c>
      <c r="CP18">
        <f t="shared" si="40"/>
        <v>0.79113924050632911</v>
      </c>
      <c r="CQ18">
        <f t="shared" si="41"/>
        <v>1.264</v>
      </c>
      <c r="CS18">
        <f t="shared" si="42"/>
        <v>0.12069712997485475</v>
      </c>
      <c r="CT18">
        <f t="shared" si="43"/>
        <v>0</v>
      </c>
      <c r="CU18">
        <f t="shared" si="44"/>
        <v>60</v>
      </c>
      <c r="CV18">
        <f t="shared" si="45"/>
        <v>1.379746835443038</v>
      </c>
      <c r="CW18">
        <f t="shared" si="46"/>
        <v>0.72477064220183485</v>
      </c>
    </row>
    <row r="19" spans="1:101" s="4" customFormat="1" x14ac:dyDescent="0.35">
      <c r="A19" s="4">
        <v>8</v>
      </c>
      <c r="B19" s="4">
        <v>373</v>
      </c>
      <c r="C19" s="4">
        <v>1841</v>
      </c>
      <c r="D19" s="5"/>
      <c r="E19" s="4">
        <v>43.381500000000003</v>
      </c>
      <c r="F19" s="4">
        <v>817</v>
      </c>
      <c r="G19" s="4">
        <v>14</v>
      </c>
      <c r="H19" s="4">
        <v>939</v>
      </c>
      <c r="I19" s="4">
        <v>3890</v>
      </c>
      <c r="J19" s="4">
        <f t="shared" si="14"/>
        <v>2951</v>
      </c>
      <c r="K19" s="4">
        <f t="shared" si="15"/>
        <v>4.1427050053248138</v>
      </c>
      <c r="L19" s="4">
        <f t="shared" si="16"/>
        <v>227</v>
      </c>
      <c r="M19" s="5"/>
      <c r="N19" s="4">
        <v>14.3794</v>
      </c>
      <c r="O19" s="4">
        <v>126</v>
      </c>
      <c r="P19" s="4">
        <v>887</v>
      </c>
      <c r="Q19" s="4">
        <v>6</v>
      </c>
      <c r="R19" s="4">
        <v>939</v>
      </c>
      <c r="S19" s="4">
        <v>1137</v>
      </c>
      <c r="T19" s="4">
        <f t="shared" si="17"/>
        <v>198</v>
      </c>
      <c r="U19" s="4">
        <f t="shared" si="18"/>
        <v>1.2108626198083068</v>
      </c>
      <c r="V19" s="4">
        <f t="shared" si="19"/>
        <v>39.6</v>
      </c>
      <c r="W19" s="4">
        <v>4011</v>
      </c>
      <c r="X19" s="4">
        <v>4209</v>
      </c>
      <c r="Y19" s="5"/>
      <c r="Z19" s="4">
        <v>10.3919</v>
      </c>
      <c r="AA19" s="4">
        <v>201</v>
      </c>
      <c r="AB19" s="4">
        <v>817</v>
      </c>
      <c r="AC19" s="4">
        <v>1</v>
      </c>
      <c r="AD19" s="4">
        <v>939</v>
      </c>
      <c r="AE19" s="4">
        <v>939</v>
      </c>
      <c r="AF19" s="4">
        <f t="shared" si="20"/>
        <v>0</v>
      </c>
      <c r="AG19" s="4">
        <f t="shared" si="21"/>
        <v>1</v>
      </c>
      <c r="AH19" s="4" t="e">
        <f t="shared" si="22"/>
        <v>#DIV/0!</v>
      </c>
      <c r="AI19" s="4">
        <v>11996</v>
      </c>
      <c r="AJ19" s="4">
        <v>11996</v>
      </c>
      <c r="AK19" s="5"/>
      <c r="AL19" s="4">
        <f>45.0463+13.4661</f>
        <v>58.5124</v>
      </c>
      <c r="AM19" s="4">
        <v>126</v>
      </c>
      <c r="AN19" s="4">
        <v>874</v>
      </c>
      <c r="AO19" s="4">
        <v>892</v>
      </c>
      <c r="AP19" s="4">
        <f>AO19/AN19</f>
        <v>1.0205949656750573</v>
      </c>
      <c r="AQ19" s="4">
        <v>4</v>
      </c>
      <c r="AR19" s="4">
        <v>939</v>
      </c>
      <c r="AS19" s="4">
        <v>1385</v>
      </c>
      <c r="AT19" s="4">
        <f t="shared" si="24"/>
        <v>446</v>
      </c>
      <c r="AU19" s="4">
        <f t="shared" si="25"/>
        <v>1.4749733759318424</v>
      </c>
      <c r="AV19" s="4">
        <f t="shared" si="26"/>
        <v>148.66666666666666</v>
      </c>
      <c r="AW19" s="4">
        <v>11996</v>
      </c>
      <c r="AX19" s="4">
        <v>12442</v>
      </c>
      <c r="AY19" s="5"/>
      <c r="AZ19" s="4">
        <f>72.6263+11.641</f>
        <v>84.267300000000006</v>
      </c>
      <c r="BA19" s="4">
        <v>155</v>
      </c>
      <c r="BB19" s="4">
        <v>339</v>
      </c>
      <c r="BC19" s="4">
        <f t="shared" si="27"/>
        <v>2.1870967741935483</v>
      </c>
      <c r="BD19" s="4">
        <v>817</v>
      </c>
      <c r="BE19" s="4">
        <v>5</v>
      </c>
      <c r="BF19" s="4">
        <v>939</v>
      </c>
      <c r="BG19" s="4">
        <v>1360</v>
      </c>
      <c r="BH19" s="4">
        <f t="shared" si="28"/>
        <v>421</v>
      </c>
      <c r="BI19" s="4">
        <f t="shared" si="29"/>
        <v>1.448349307774228</v>
      </c>
      <c r="BJ19" s="4">
        <f t="shared" si="30"/>
        <v>105.25</v>
      </c>
      <c r="BK19" s="4">
        <v>11997</v>
      </c>
      <c r="BL19" s="4">
        <v>12418</v>
      </c>
      <c r="BM19" s="5"/>
      <c r="BN19" s="5"/>
      <c r="BO19" s="4">
        <f t="shared" si="0"/>
        <v>70</v>
      </c>
      <c r="BP19" s="4">
        <f t="shared" si="1"/>
        <v>1.0856793145654835</v>
      </c>
      <c r="BQ19" s="4">
        <f t="shared" si="2"/>
        <v>0</v>
      </c>
      <c r="BR19" s="4">
        <f t="shared" si="3"/>
        <v>1</v>
      </c>
      <c r="BS19" s="4">
        <f t="shared" si="4"/>
        <v>57</v>
      </c>
      <c r="BT19" s="4">
        <f t="shared" si="5"/>
        <v>1.069767441860465</v>
      </c>
      <c r="BU19">
        <f t="shared" si="31"/>
        <v>0.93478260869565222</v>
      </c>
      <c r="BV19" s="5"/>
      <c r="BW19" s="4">
        <f t="shared" si="6"/>
        <v>0.17760167075696776</v>
      </c>
      <c r="BX19" s="4">
        <f t="shared" si="7"/>
        <v>75</v>
      </c>
      <c r="BY19" s="4">
        <f t="shared" si="8"/>
        <v>1.5952380952380953</v>
      </c>
      <c r="BZ19" s="4">
        <f t="shared" si="32"/>
        <v>-5</v>
      </c>
      <c r="CA19" s="5"/>
      <c r="CB19" s="4">
        <f t="shared" si="9"/>
        <v>0.24574961888420233</v>
      </c>
      <c r="CC19" s="4">
        <f t="shared" si="10"/>
        <v>13</v>
      </c>
      <c r="CD19" s="4">
        <f t="shared" si="11"/>
        <v>1.0148741418764302</v>
      </c>
      <c r="CE19" s="4">
        <f t="shared" si="33"/>
        <v>0.98534385569334837</v>
      </c>
      <c r="CF19" s="4">
        <f t="shared" si="12"/>
        <v>0</v>
      </c>
      <c r="CG19" s="4">
        <f t="shared" si="34"/>
        <v>1.5911872705018482E-2</v>
      </c>
      <c r="CH19" s="5"/>
      <c r="CI19" s="4">
        <f t="shared" si="35"/>
        <v>0.17760167075696776</v>
      </c>
      <c r="CJ19" s="5"/>
      <c r="CK19" s="4">
        <f t="shared" si="36"/>
        <v>0.17064033142155971</v>
      </c>
      <c r="CL19" s="4">
        <f t="shared" si="37"/>
        <v>70</v>
      </c>
      <c r="CM19" s="4">
        <f t="shared" si="38"/>
        <v>1.0856793145654835</v>
      </c>
      <c r="CN19" s="4">
        <f t="shared" si="39"/>
        <v>0.92108229988726043</v>
      </c>
      <c r="CO19" s="4">
        <f t="shared" si="13"/>
        <v>29</v>
      </c>
      <c r="CP19" s="4">
        <f t="shared" si="40"/>
        <v>0.81290322580645158</v>
      </c>
      <c r="CQ19" s="4">
        <f t="shared" si="41"/>
        <v>1.2301587301587302</v>
      </c>
      <c r="CR19" s="5"/>
      <c r="CS19" s="4">
        <f t="shared" si="42"/>
        <v>0.12332067124495504</v>
      </c>
      <c r="CT19" s="4">
        <f t="shared" si="43"/>
        <v>0</v>
      </c>
      <c r="CU19" s="4">
        <f t="shared" si="44"/>
        <v>46</v>
      </c>
      <c r="CV19" s="4">
        <f t="shared" si="45"/>
        <v>1.2967741935483872</v>
      </c>
      <c r="CW19" s="4">
        <f t="shared" si="46"/>
        <v>0.77114427860696522</v>
      </c>
    </row>
    <row r="20" spans="1:101" x14ac:dyDescent="0.35">
      <c r="A20">
        <v>9</v>
      </c>
      <c r="B20">
        <v>468</v>
      </c>
      <c r="C20">
        <v>4024</v>
      </c>
      <c r="E20">
        <v>3522.8220999999999</v>
      </c>
      <c r="F20">
        <v>1720</v>
      </c>
      <c r="G20">
        <v>95</v>
      </c>
      <c r="H20">
        <v>2076</v>
      </c>
      <c r="I20">
        <v>17993</v>
      </c>
      <c r="J20">
        <f t="shared" si="14"/>
        <v>15917</v>
      </c>
      <c r="K20">
        <f t="shared" si="15"/>
        <v>8.6671483622350678</v>
      </c>
      <c r="L20">
        <f t="shared" si="16"/>
        <v>169.32978723404256</v>
      </c>
      <c r="N20">
        <v>66.004900000000006</v>
      </c>
      <c r="O20">
        <v>158</v>
      </c>
      <c r="P20">
        <v>1870</v>
      </c>
      <c r="Q20">
        <v>3</v>
      </c>
      <c r="R20">
        <v>2076</v>
      </c>
      <c r="S20">
        <v>2212</v>
      </c>
      <c r="T20">
        <f t="shared" si="17"/>
        <v>136</v>
      </c>
      <c r="U20">
        <f t="shared" si="18"/>
        <v>1.0655105973025047</v>
      </c>
      <c r="V20">
        <f t="shared" si="19"/>
        <v>68</v>
      </c>
      <c r="W20">
        <v>8988</v>
      </c>
      <c r="X20">
        <v>9124</v>
      </c>
      <c r="Z20">
        <v>80.616900000000001</v>
      </c>
      <c r="AA20">
        <v>256</v>
      </c>
      <c r="AB20">
        <v>1720</v>
      </c>
      <c r="AC20">
        <v>2</v>
      </c>
      <c r="AD20">
        <v>2076</v>
      </c>
      <c r="AE20">
        <v>2077</v>
      </c>
      <c r="AF20">
        <f t="shared" si="20"/>
        <v>1</v>
      </c>
      <c r="AG20">
        <f t="shared" si="21"/>
        <v>1.0004816955684008</v>
      </c>
      <c r="AH20">
        <f t="shared" si="22"/>
        <v>1</v>
      </c>
      <c r="AI20">
        <v>26836</v>
      </c>
      <c r="AJ20">
        <v>26837</v>
      </c>
      <c r="AL20">
        <f>99.2193+65.5387</f>
        <v>164.75800000000001</v>
      </c>
      <c r="AM20">
        <v>158</v>
      </c>
      <c r="AN20">
        <v>1798</v>
      </c>
      <c r="AO20">
        <v>1882</v>
      </c>
      <c r="AP20">
        <f t="shared" si="23"/>
        <v>1.0467185761957731</v>
      </c>
      <c r="AQ20">
        <v>2</v>
      </c>
      <c r="AR20">
        <v>2076</v>
      </c>
      <c r="AS20">
        <v>2154</v>
      </c>
      <c r="AT20">
        <f t="shared" si="24"/>
        <v>78</v>
      </c>
      <c r="AU20">
        <f t="shared" si="25"/>
        <v>1.0375722543352601</v>
      </c>
      <c r="AV20">
        <f t="shared" si="26"/>
        <v>78</v>
      </c>
      <c r="AW20">
        <v>26836</v>
      </c>
      <c r="AX20">
        <v>26914</v>
      </c>
      <c r="AZ20">
        <f>1368.1546+84.0328</f>
        <v>1452.1874</v>
      </c>
      <c r="BA20">
        <v>202</v>
      </c>
      <c r="BB20">
        <v>428</v>
      </c>
      <c r="BC20">
        <f t="shared" si="27"/>
        <v>2.1188118811881189</v>
      </c>
      <c r="BD20">
        <v>1720</v>
      </c>
      <c r="BE20">
        <v>4</v>
      </c>
      <c r="BF20">
        <v>2076</v>
      </c>
      <c r="BG20">
        <v>2379</v>
      </c>
      <c r="BH20">
        <f t="shared" si="28"/>
        <v>303</v>
      </c>
      <c r="BI20">
        <f t="shared" si="29"/>
        <v>1.1459537572254335</v>
      </c>
      <c r="BJ20">
        <f t="shared" si="30"/>
        <v>101</v>
      </c>
      <c r="BK20">
        <v>26837</v>
      </c>
      <c r="BL20">
        <v>27140</v>
      </c>
      <c r="BO20">
        <f t="shared" si="0"/>
        <v>150</v>
      </c>
      <c r="BP20">
        <f t="shared" si="1"/>
        <v>1.0872093023255813</v>
      </c>
      <c r="BQ20">
        <f t="shared" si="2"/>
        <v>0</v>
      </c>
      <c r="BR20">
        <f t="shared" si="3"/>
        <v>1</v>
      </c>
      <c r="BS20">
        <f t="shared" si="4"/>
        <v>78</v>
      </c>
      <c r="BT20">
        <f t="shared" si="5"/>
        <v>1.0453488372093023</v>
      </c>
      <c r="BU20">
        <f t="shared" si="31"/>
        <v>0.95661846496106784</v>
      </c>
      <c r="BW20">
        <f t="shared" si="6"/>
        <v>0.48930491994318936</v>
      </c>
      <c r="BX20">
        <f t="shared" si="7"/>
        <v>98</v>
      </c>
      <c r="BY20">
        <f t="shared" si="8"/>
        <v>1.620253164556962</v>
      </c>
      <c r="BZ20">
        <f t="shared" si="32"/>
        <v>-1</v>
      </c>
      <c r="CB20">
        <f t="shared" si="9"/>
        <v>0.40061726896417776</v>
      </c>
      <c r="CC20">
        <f t="shared" si="10"/>
        <v>72</v>
      </c>
      <c r="CD20">
        <f t="shared" si="11"/>
        <v>1.0400444938820912</v>
      </c>
      <c r="CE20">
        <f t="shared" si="33"/>
        <v>0.9614973262032086</v>
      </c>
      <c r="CF20">
        <f t="shared" si="12"/>
        <v>0</v>
      </c>
      <c r="CG20">
        <f t="shared" si="34"/>
        <v>4.1860465116279055E-2</v>
      </c>
      <c r="CI20">
        <f t="shared" si="35"/>
        <v>0.48930491994318936</v>
      </c>
      <c r="CK20">
        <f t="shared" si="36"/>
        <v>4.5452053915355554E-2</v>
      </c>
      <c r="CL20">
        <f t="shared" si="37"/>
        <v>150</v>
      </c>
      <c r="CM20">
        <f t="shared" si="38"/>
        <v>1.0872093023255813</v>
      </c>
      <c r="CN20">
        <f t="shared" si="39"/>
        <v>0.9197860962566845</v>
      </c>
      <c r="CO20">
        <f t="shared" si="13"/>
        <v>44</v>
      </c>
      <c r="CP20">
        <f t="shared" si="40"/>
        <v>0.78217821782178221</v>
      </c>
      <c r="CQ20">
        <f t="shared" si="41"/>
        <v>1.2784810126582278</v>
      </c>
      <c r="CS20">
        <f t="shared" si="42"/>
        <v>5.5514116153328422E-2</v>
      </c>
      <c r="CT20">
        <f t="shared" si="43"/>
        <v>0</v>
      </c>
      <c r="CU20">
        <f t="shared" si="44"/>
        <v>54</v>
      </c>
      <c r="CV20">
        <f t="shared" si="45"/>
        <v>1.2673267326732673</v>
      </c>
      <c r="CW20">
        <f t="shared" si="46"/>
        <v>0.7890625</v>
      </c>
    </row>
    <row r="21" spans="1:101" x14ac:dyDescent="0.35">
      <c r="A21">
        <v>9</v>
      </c>
      <c r="B21">
        <v>476</v>
      </c>
      <c r="C21">
        <v>4018</v>
      </c>
      <c r="E21">
        <v>10530.7765</v>
      </c>
      <c r="F21">
        <v>1714</v>
      </c>
      <c r="G21">
        <v>111</v>
      </c>
      <c r="H21">
        <v>2098</v>
      </c>
      <c r="I21">
        <v>27829</v>
      </c>
      <c r="J21">
        <f t="shared" si="14"/>
        <v>25731</v>
      </c>
      <c r="K21">
        <f t="shared" si="15"/>
        <v>13.264537654909438</v>
      </c>
      <c r="L21">
        <f t="shared" si="16"/>
        <v>233.91818181818181</v>
      </c>
      <c r="N21">
        <v>68.526899999999998</v>
      </c>
      <c r="O21">
        <v>174</v>
      </c>
      <c r="P21">
        <v>1852</v>
      </c>
      <c r="Q21">
        <v>3</v>
      </c>
      <c r="R21">
        <v>2098</v>
      </c>
      <c r="S21">
        <v>2231</v>
      </c>
      <c r="T21">
        <f t="shared" si="17"/>
        <v>133</v>
      </c>
      <c r="U21">
        <f t="shared" si="18"/>
        <v>1.0633937082936129</v>
      </c>
      <c r="V21">
        <f t="shared" si="19"/>
        <v>66.5</v>
      </c>
      <c r="W21">
        <v>9010</v>
      </c>
      <c r="X21">
        <v>9143</v>
      </c>
      <c r="Z21">
        <v>65.354100000000003</v>
      </c>
      <c r="AA21">
        <v>296</v>
      </c>
      <c r="AB21">
        <v>1714</v>
      </c>
      <c r="AC21">
        <v>1</v>
      </c>
      <c r="AD21">
        <v>2098</v>
      </c>
      <c r="AE21">
        <v>2098</v>
      </c>
      <c r="AF21">
        <f t="shared" si="20"/>
        <v>0</v>
      </c>
      <c r="AG21">
        <f t="shared" si="21"/>
        <v>1</v>
      </c>
      <c r="AH21" t="e">
        <f t="shared" si="22"/>
        <v>#DIV/0!</v>
      </c>
      <c r="AI21">
        <v>26852</v>
      </c>
      <c r="AJ21">
        <v>26852</v>
      </c>
      <c r="AL21">
        <f>209.0311+65.0042</f>
        <v>274.03530000000001</v>
      </c>
      <c r="AM21">
        <v>174</v>
      </c>
      <c r="AN21">
        <v>1836</v>
      </c>
      <c r="AO21">
        <v>1878</v>
      </c>
      <c r="AP21">
        <f t="shared" si="23"/>
        <v>1.022875816993464</v>
      </c>
      <c r="AQ21">
        <v>7</v>
      </c>
      <c r="AR21">
        <v>2098</v>
      </c>
      <c r="AS21">
        <v>2251</v>
      </c>
      <c r="AT21">
        <f t="shared" si="24"/>
        <v>153</v>
      </c>
      <c r="AU21">
        <f t="shared" si="25"/>
        <v>1.072926596758818</v>
      </c>
      <c r="AV21">
        <f t="shared" si="26"/>
        <v>25.5</v>
      </c>
      <c r="AW21">
        <v>26852</v>
      </c>
      <c r="AX21">
        <v>27005</v>
      </c>
      <c r="AZ21">
        <f>773.1634+68.1336</f>
        <v>841.29700000000003</v>
      </c>
      <c r="BA21">
        <v>219</v>
      </c>
      <c r="BB21">
        <v>432</v>
      </c>
      <c r="BC21">
        <f t="shared" si="27"/>
        <v>1.9726027397260273</v>
      </c>
      <c r="BD21">
        <v>1714</v>
      </c>
      <c r="BE21">
        <v>2</v>
      </c>
      <c r="BF21">
        <v>2098</v>
      </c>
      <c r="BG21">
        <v>2304</v>
      </c>
      <c r="BH21">
        <f t="shared" si="28"/>
        <v>206</v>
      </c>
      <c r="BI21">
        <f t="shared" si="29"/>
        <v>1.0981887511916111</v>
      </c>
      <c r="BJ21">
        <f t="shared" si="30"/>
        <v>206</v>
      </c>
      <c r="BK21">
        <v>26853</v>
      </c>
      <c r="BL21">
        <v>27059</v>
      </c>
      <c r="BO21">
        <f t="shared" si="0"/>
        <v>138</v>
      </c>
      <c r="BP21">
        <f t="shared" si="1"/>
        <v>1.0805134189031504</v>
      </c>
      <c r="BQ21">
        <f t="shared" si="2"/>
        <v>0</v>
      </c>
      <c r="BR21">
        <f t="shared" si="3"/>
        <v>1</v>
      </c>
      <c r="BS21">
        <f t="shared" si="4"/>
        <v>122</v>
      </c>
      <c r="BT21">
        <f t="shared" si="5"/>
        <v>1.0711785297549592</v>
      </c>
      <c r="BU21">
        <f t="shared" si="31"/>
        <v>0.93355119825708066</v>
      </c>
      <c r="BW21">
        <f t="shared" si="6"/>
        <v>0.23848788823921591</v>
      </c>
      <c r="BX21">
        <f t="shared" si="7"/>
        <v>122</v>
      </c>
      <c r="BY21">
        <f t="shared" si="8"/>
        <v>1.7011494252873562</v>
      </c>
      <c r="BZ21">
        <f t="shared" si="32"/>
        <v>-2</v>
      </c>
      <c r="CB21">
        <f t="shared" si="9"/>
        <v>0.25006595865569142</v>
      </c>
      <c r="CC21">
        <f t="shared" si="10"/>
        <v>16</v>
      </c>
      <c r="CD21">
        <f t="shared" si="11"/>
        <v>1.008714596949891</v>
      </c>
      <c r="CE21">
        <f t="shared" si="33"/>
        <v>0.99136069114470837</v>
      </c>
      <c r="CF21">
        <f t="shared" si="12"/>
        <v>0</v>
      </c>
      <c r="CG21">
        <f t="shared" si="34"/>
        <v>9.3348891481912499E-3</v>
      </c>
      <c r="CI21">
        <f t="shared" si="35"/>
        <v>0.23848788823921591</v>
      </c>
      <c r="CK21">
        <f t="shared" si="36"/>
        <v>8.1453874196627349E-2</v>
      </c>
      <c r="CL21">
        <f t="shared" si="37"/>
        <v>138</v>
      </c>
      <c r="CM21">
        <f t="shared" si="38"/>
        <v>1.0805134189031504</v>
      </c>
      <c r="CN21">
        <f t="shared" si="39"/>
        <v>0.9254859611231101</v>
      </c>
      <c r="CO21">
        <f t="shared" si="13"/>
        <v>45</v>
      </c>
      <c r="CP21">
        <f t="shared" si="40"/>
        <v>0.79452054794520544</v>
      </c>
      <c r="CQ21">
        <f t="shared" si="41"/>
        <v>1.2586206896551724</v>
      </c>
      <c r="CS21">
        <f t="shared" si="42"/>
        <v>7.7682554436780349E-2</v>
      </c>
      <c r="CT21">
        <f t="shared" si="43"/>
        <v>0</v>
      </c>
      <c r="CU21">
        <f t="shared" si="44"/>
        <v>77</v>
      </c>
      <c r="CV21">
        <f t="shared" si="45"/>
        <v>1.3515981735159817</v>
      </c>
      <c r="CW21">
        <f t="shared" si="46"/>
        <v>0.73986486486486491</v>
      </c>
    </row>
    <row r="22" spans="1:101" x14ac:dyDescent="0.35">
      <c r="A22">
        <v>9</v>
      </c>
      <c r="B22">
        <v>472</v>
      </c>
      <c r="C22">
        <v>4048</v>
      </c>
      <c r="E22">
        <v>19963.927199999998</v>
      </c>
      <c r="F22">
        <v>1744</v>
      </c>
      <c r="G22">
        <v>166</v>
      </c>
      <c r="H22">
        <v>2095</v>
      </c>
      <c r="I22">
        <v>28911</v>
      </c>
      <c r="J22">
        <f t="shared" si="14"/>
        <v>26816</v>
      </c>
      <c r="K22">
        <f t="shared" si="15"/>
        <v>13.8</v>
      </c>
      <c r="L22">
        <f t="shared" si="16"/>
        <v>162.52121212121213</v>
      </c>
      <c r="N22">
        <v>86.2453</v>
      </c>
      <c r="O22">
        <v>173</v>
      </c>
      <c r="P22">
        <v>1966</v>
      </c>
      <c r="Q22">
        <v>3</v>
      </c>
      <c r="R22">
        <v>2095</v>
      </c>
      <c r="S22">
        <v>2689</v>
      </c>
      <c r="T22">
        <f t="shared" si="17"/>
        <v>594</v>
      </c>
      <c r="U22">
        <f t="shared" si="18"/>
        <v>1.2835322195704058</v>
      </c>
      <c r="V22">
        <f t="shared" si="19"/>
        <v>297</v>
      </c>
      <c r="W22">
        <v>9007</v>
      </c>
      <c r="X22">
        <v>9601</v>
      </c>
      <c r="Z22">
        <v>72.898200000000003</v>
      </c>
      <c r="AA22">
        <v>283</v>
      </c>
      <c r="AB22">
        <v>1744</v>
      </c>
      <c r="AC22">
        <v>1</v>
      </c>
      <c r="AD22">
        <v>2095</v>
      </c>
      <c r="AE22">
        <v>2095</v>
      </c>
      <c r="AF22">
        <f t="shared" si="20"/>
        <v>0</v>
      </c>
      <c r="AG22">
        <f t="shared" si="21"/>
        <v>1</v>
      </c>
      <c r="AH22" t="e">
        <f t="shared" si="22"/>
        <v>#DIV/0!</v>
      </c>
      <c r="AI22">
        <v>26879</v>
      </c>
      <c r="AJ22">
        <v>26879</v>
      </c>
      <c r="AL22">
        <f>4719.046+94.713</f>
        <v>4813.759</v>
      </c>
      <c r="AM22">
        <v>173</v>
      </c>
      <c r="AN22">
        <v>1966</v>
      </c>
      <c r="AO22">
        <v>2000</v>
      </c>
      <c r="AP22">
        <f t="shared" si="23"/>
        <v>1.0172939979654121</v>
      </c>
      <c r="AQ22">
        <v>5</v>
      </c>
      <c r="AR22">
        <v>2095</v>
      </c>
      <c r="AS22">
        <v>2935</v>
      </c>
      <c r="AT22">
        <f t="shared" si="24"/>
        <v>840</v>
      </c>
      <c r="AU22">
        <f t="shared" si="25"/>
        <v>1.4009546539379476</v>
      </c>
      <c r="AV22">
        <f t="shared" si="26"/>
        <v>210</v>
      </c>
      <c r="AW22">
        <v>26879</v>
      </c>
      <c r="AX22">
        <v>27719</v>
      </c>
      <c r="AZ22">
        <f>698.1972+71.792</f>
        <v>769.98919999999998</v>
      </c>
      <c r="BA22">
        <v>204</v>
      </c>
      <c r="BB22">
        <v>438</v>
      </c>
      <c r="BC22">
        <f t="shared" si="27"/>
        <v>2.1470588235294117</v>
      </c>
      <c r="BD22">
        <v>1744</v>
      </c>
      <c r="BE22">
        <v>3</v>
      </c>
      <c r="BF22">
        <v>2095</v>
      </c>
      <c r="BG22">
        <v>2659</v>
      </c>
      <c r="BH22">
        <f t="shared" si="28"/>
        <v>564</v>
      </c>
      <c r="BI22">
        <f t="shared" si="29"/>
        <v>1.2692124105011933</v>
      </c>
      <c r="BJ22">
        <f t="shared" si="30"/>
        <v>282</v>
      </c>
      <c r="BK22">
        <v>26880</v>
      </c>
      <c r="BL22">
        <v>27444</v>
      </c>
      <c r="BO22">
        <f t="shared" si="0"/>
        <v>222</v>
      </c>
      <c r="BP22">
        <f t="shared" si="1"/>
        <v>1.1272935779816513</v>
      </c>
      <c r="BQ22">
        <f t="shared" si="2"/>
        <v>0</v>
      </c>
      <c r="BR22">
        <f t="shared" si="3"/>
        <v>1</v>
      </c>
      <c r="BS22">
        <f t="shared" si="4"/>
        <v>222</v>
      </c>
      <c r="BT22">
        <f t="shared" si="5"/>
        <v>1.1272935779816513</v>
      </c>
      <c r="BU22">
        <f t="shared" si="31"/>
        <v>0.8870803662258393</v>
      </c>
      <c r="BW22">
        <f t="shared" si="6"/>
        <v>1.5143716168590908E-2</v>
      </c>
      <c r="BX22">
        <f t="shared" si="7"/>
        <v>110</v>
      </c>
      <c r="BY22">
        <f t="shared" si="8"/>
        <v>1.6358381502890174</v>
      </c>
      <c r="BZ22">
        <f t="shared" si="32"/>
        <v>-2</v>
      </c>
      <c r="CB22">
        <f t="shared" si="9"/>
        <v>1.7916414178607613E-2</v>
      </c>
      <c r="CC22">
        <f t="shared" si="10"/>
        <v>0</v>
      </c>
      <c r="CD22">
        <f t="shared" si="11"/>
        <v>1</v>
      </c>
      <c r="CE22">
        <f t="shared" si="33"/>
        <v>1</v>
      </c>
      <c r="CF22">
        <f t="shared" si="12"/>
        <v>0</v>
      </c>
      <c r="CG22">
        <f t="shared" si="34"/>
        <v>0</v>
      </c>
      <c r="CI22">
        <f>Z22/AL22</f>
        <v>1.5143716168590908E-2</v>
      </c>
      <c r="CK22">
        <f t="shared" si="36"/>
        <v>0.11200845414455164</v>
      </c>
      <c r="CL22">
        <f t="shared" si="37"/>
        <v>222</v>
      </c>
      <c r="CM22">
        <f t="shared" si="38"/>
        <v>1.1272935779816513</v>
      </c>
      <c r="CN22">
        <f t="shared" si="39"/>
        <v>0.8870803662258393</v>
      </c>
      <c r="CO22">
        <f t="shared" si="13"/>
        <v>31</v>
      </c>
      <c r="CP22">
        <f t="shared" si="40"/>
        <v>0.84803921568627449</v>
      </c>
      <c r="CQ22">
        <f t="shared" si="41"/>
        <v>1.1791907514450868</v>
      </c>
      <c r="CS22">
        <f t="shared" si="42"/>
        <v>9.4674314912468902E-2</v>
      </c>
      <c r="CT22">
        <f t="shared" si="43"/>
        <v>0</v>
      </c>
      <c r="CU22">
        <f t="shared" si="44"/>
        <v>79</v>
      </c>
      <c r="CV22">
        <f t="shared" si="45"/>
        <v>1.3872549019607843</v>
      </c>
      <c r="CW22">
        <f t="shared" si="46"/>
        <v>0.72084805653710249</v>
      </c>
    </row>
    <row r="24" spans="1:101" x14ac:dyDescent="0.35">
      <c r="A24" s="1" t="s">
        <v>22</v>
      </c>
      <c r="B24" s="1" t="s">
        <v>23</v>
      </c>
    </row>
    <row r="25" spans="1:101" x14ac:dyDescent="0.35">
      <c r="A25">
        <f>AVERAGE(A2,A3,A4)</f>
        <v>3</v>
      </c>
      <c r="B25">
        <f t="shared" ref="B25:CF25" si="47">AVERAGE(B2,B3,B4)</f>
        <v>19.666666666666668</v>
      </c>
      <c r="C25">
        <f t="shared" si="47"/>
        <v>21.333333333333332</v>
      </c>
      <c r="E25">
        <f t="shared" si="47"/>
        <v>2.2599999999999999E-2</v>
      </c>
      <c r="F25">
        <f t="shared" si="47"/>
        <v>9.3333333333333339</v>
      </c>
      <c r="G25">
        <f t="shared" si="47"/>
        <v>1.3333333333333333</v>
      </c>
      <c r="H25">
        <f t="shared" si="47"/>
        <v>9.6666666666666661</v>
      </c>
      <c r="I25">
        <f t="shared" si="47"/>
        <v>10</v>
      </c>
      <c r="J25">
        <f t="shared" si="47"/>
        <v>0.33333333333333331</v>
      </c>
      <c r="K25">
        <f t="shared" si="47"/>
        <v>1.037037037037037</v>
      </c>
      <c r="L25" t="e">
        <f t="shared" si="47"/>
        <v>#DIV/0!</v>
      </c>
      <c r="N25">
        <f t="shared" si="47"/>
        <v>6.1333333333333335E-3</v>
      </c>
      <c r="O25">
        <f t="shared" si="47"/>
        <v>5.666666666666667</v>
      </c>
      <c r="P25">
        <f t="shared" si="47"/>
        <v>9.3333333333333339</v>
      </c>
      <c r="Q25">
        <f t="shared" si="47"/>
        <v>1</v>
      </c>
      <c r="R25">
        <f t="shared" si="47"/>
        <v>9.6666666666666661</v>
      </c>
      <c r="S25">
        <f t="shared" si="47"/>
        <v>9.6666666666666661</v>
      </c>
      <c r="T25">
        <f t="shared" si="47"/>
        <v>0</v>
      </c>
      <c r="U25">
        <f t="shared" si="47"/>
        <v>1</v>
      </c>
      <c r="V25" t="e">
        <f t="shared" si="47"/>
        <v>#DIV/0!</v>
      </c>
      <c r="W25">
        <f t="shared" si="47"/>
        <v>45.666666666666664</v>
      </c>
      <c r="X25">
        <f t="shared" si="47"/>
        <v>45.666666666666664</v>
      </c>
      <c r="Z25">
        <f t="shared" si="47"/>
        <v>1.5233333333333335E-2</v>
      </c>
      <c r="AA25">
        <f t="shared" si="47"/>
        <v>10.333333333333334</v>
      </c>
      <c r="AB25">
        <f t="shared" si="47"/>
        <v>9.3333333333333339</v>
      </c>
      <c r="AC25">
        <f t="shared" si="47"/>
        <v>1</v>
      </c>
      <c r="AD25">
        <f t="shared" si="47"/>
        <v>9.6666666666666661</v>
      </c>
      <c r="AE25">
        <f t="shared" si="47"/>
        <v>9.6666666666666661</v>
      </c>
      <c r="AF25">
        <f t="shared" si="47"/>
        <v>0</v>
      </c>
      <c r="AG25">
        <f t="shared" si="47"/>
        <v>1</v>
      </c>
      <c r="AH25" t="e">
        <f t="shared" si="47"/>
        <v>#DIV/0!</v>
      </c>
      <c r="AI25">
        <f t="shared" si="47"/>
        <v>139</v>
      </c>
      <c r="AJ25">
        <f t="shared" si="47"/>
        <v>139</v>
      </c>
      <c r="AL25">
        <f t="shared" si="47"/>
        <v>4.3710000000000006E-2</v>
      </c>
      <c r="AM25">
        <f t="shared" si="47"/>
        <v>5.666666666666667</v>
      </c>
      <c r="AN25">
        <f t="shared" si="47"/>
        <v>9.3333333333333339</v>
      </c>
      <c r="AQ25">
        <f t="shared" si="47"/>
        <v>1</v>
      </c>
      <c r="AR25">
        <f t="shared" si="47"/>
        <v>9.6666666666666661</v>
      </c>
      <c r="AS25">
        <f t="shared" si="47"/>
        <v>9.6666666666666661</v>
      </c>
      <c r="AT25">
        <f t="shared" si="47"/>
        <v>0</v>
      </c>
      <c r="AU25">
        <f t="shared" si="47"/>
        <v>1</v>
      </c>
      <c r="AV25" t="e">
        <f t="shared" si="47"/>
        <v>#DIV/0!</v>
      </c>
      <c r="AW25">
        <f t="shared" si="47"/>
        <v>139</v>
      </c>
      <c r="AX25">
        <f t="shared" si="47"/>
        <v>139</v>
      </c>
      <c r="BO25">
        <f t="shared" si="47"/>
        <v>0</v>
      </c>
      <c r="BP25">
        <f t="shared" si="47"/>
        <v>1</v>
      </c>
      <c r="BQ25">
        <f t="shared" si="47"/>
        <v>0</v>
      </c>
      <c r="BR25">
        <f t="shared" si="47"/>
        <v>1</v>
      </c>
      <c r="BS25">
        <f t="shared" si="47"/>
        <v>0</v>
      </c>
      <c r="BT25">
        <f t="shared" si="47"/>
        <v>1</v>
      </c>
      <c r="BW25">
        <f t="shared" si="47"/>
        <v>0.53775435512957825</v>
      </c>
      <c r="BX25">
        <f t="shared" si="47"/>
        <v>4.666666666666667</v>
      </c>
      <c r="BY25">
        <f t="shared" si="47"/>
        <v>2.1388888888888888</v>
      </c>
      <c r="CB25">
        <f t="shared" si="47"/>
        <v>0.18397750785335051</v>
      </c>
      <c r="CC25">
        <f t="shared" si="47"/>
        <v>0</v>
      </c>
      <c r="CD25">
        <f t="shared" si="47"/>
        <v>1</v>
      </c>
      <c r="CF25">
        <f t="shared" si="47"/>
        <v>0</v>
      </c>
      <c r="CG25">
        <f t="shared" ref="CG25" si="48">AVERAGE(CG2,CG3,CG4)</f>
        <v>0</v>
      </c>
      <c r="CK25">
        <f t="shared" ref="CK25:CN25" si="49">AVERAGE(CK2,CK3,CK4)</f>
        <v>0.18996964816348316</v>
      </c>
      <c r="CL25">
        <f t="shared" si="49"/>
        <v>0</v>
      </c>
      <c r="CM25">
        <f t="shared" si="49"/>
        <v>1</v>
      </c>
      <c r="CN25">
        <f t="shared" si="49"/>
        <v>1</v>
      </c>
      <c r="CO25">
        <f t="shared" ref="CO25:CW25" si="50">AVERAGE(CO2,CO3,CO4)</f>
        <v>0</v>
      </c>
      <c r="CP25">
        <f t="shared" si="50"/>
        <v>1</v>
      </c>
      <c r="CQ25">
        <f t="shared" si="50"/>
        <v>1</v>
      </c>
      <c r="CS25">
        <f t="shared" si="50"/>
        <v>0.4807045845346945</v>
      </c>
      <c r="CT25">
        <f t="shared" si="50"/>
        <v>0</v>
      </c>
      <c r="CU25">
        <f t="shared" si="50"/>
        <v>4.666666666666667</v>
      </c>
      <c r="CV25">
        <f t="shared" si="50"/>
        <v>2.1388888888888888</v>
      </c>
      <c r="CW25">
        <f t="shared" si="50"/>
        <v>0.54848484848484846</v>
      </c>
    </row>
    <row r="26" spans="1:101" x14ac:dyDescent="0.35">
      <c r="A26">
        <f>AVERAGE(A5,A6,A7)</f>
        <v>4</v>
      </c>
      <c r="B26">
        <f t="shared" ref="B26:CF26" si="51">AVERAGE(B5,B6,B7)</f>
        <v>42.333333333333336</v>
      </c>
      <c r="C26">
        <f t="shared" si="51"/>
        <v>55</v>
      </c>
      <c r="E26">
        <f t="shared" si="51"/>
        <v>3.4033333333333339E-2</v>
      </c>
      <c r="F26">
        <f t="shared" si="51"/>
        <v>23</v>
      </c>
      <c r="G26">
        <f t="shared" si="51"/>
        <v>2.6666666666666665</v>
      </c>
      <c r="H26">
        <f t="shared" si="51"/>
        <v>24</v>
      </c>
      <c r="I26">
        <f t="shared" si="51"/>
        <v>31</v>
      </c>
      <c r="J26">
        <f t="shared" si="51"/>
        <v>7</v>
      </c>
      <c r="K26">
        <f t="shared" si="51"/>
        <v>1.3197530864197531</v>
      </c>
      <c r="L26" t="e">
        <f t="shared" si="51"/>
        <v>#DIV/0!</v>
      </c>
      <c r="N26">
        <f t="shared" si="51"/>
        <v>3.04E-2</v>
      </c>
      <c r="O26">
        <f t="shared" si="51"/>
        <v>12.666666666666666</v>
      </c>
      <c r="P26">
        <f t="shared" si="51"/>
        <v>23.333333333333332</v>
      </c>
      <c r="Q26">
        <f t="shared" si="51"/>
        <v>1.6666666666666667</v>
      </c>
      <c r="R26">
        <f t="shared" si="51"/>
        <v>24</v>
      </c>
      <c r="S26">
        <f t="shared" si="51"/>
        <v>25</v>
      </c>
      <c r="T26">
        <f t="shared" si="51"/>
        <v>1</v>
      </c>
      <c r="U26">
        <f t="shared" si="51"/>
        <v>1.0466666666666666</v>
      </c>
      <c r="V26" t="e">
        <f t="shared" si="51"/>
        <v>#DIV/0!</v>
      </c>
      <c r="W26">
        <f t="shared" si="51"/>
        <v>120</v>
      </c>
      <c r="X26">
        <f t="shared" si="51"/>
        <v>121</v>
      </c>
      <c r="Z26">
        <f t="shared" si="51"/>
        <v>5.0366666666666671E-2</v>
      </c>
      <c r="AA26">
        <f t="shared" si="51"/>
        <v>18.666666666666668</v>
      </c>
      <c r="AB26">
        <f t="shared" si="51"/>
        <v>23</v>
      </c>
      <c r="AC26">
        <f t="shared" si="51"/>
        <v>1.3333333333333333</v>
      </c>
      <c r="AD26">
        <f t="shared" si="51"/>
        <v>24</v>
      </c>
      <c r="AE26">
        <f t="shared" si="51"/>
        <v>24.666666666666668</v>
      </c>
      <c r="AF26">
        <f t="shared" si="51"/>
        <v>0.66666666666666663</v>
      </c>
      <c r="AG26">
        <f t="shared" si="51"/>
        <v>1.0333333333333334</v>
      </c>
      <c r="AH26" t="e">
        <f t="shared" si="51"/>
        <v>#DIV/0!</v>
      </c>
      <c r="AI26">
        <f t="shared" si="51"/>
        <v>367</v>
      </c>
      <c r="AJ26">
        <f t="shared" si="51"/>
        <v>367.66666666666669</v>
      </c>
      <c r="AL26">
        <f t="shared" si="51"/>
        <v>7.9023333333333334E-2</v>
      </c>
      <c r="AM26">
        <f t="shared" si="51"/>
        <v>12.666666666666666</v>
      </c>
      <c r="AN26">
        <f t="shared" si="51"/>
        <v>23</v>
      </c>
      <c r="AQ26">
        <f t="shared" si="51"/>
        <v>1.3333333333333333</v>
      </c>
      <c r="AR26">
        <f t="shared" si="51"/>
        <v>24</v>
      </c>
      <c r="AS26">
        <f t="shared" si="51"/>
        <v>24.333333333333332</v>
      </c>
      <c r="AT26">
        <f t="shared" si="51"/>
        <v>0.33333333333333331</v>
      </c>
      <c r="AU26">
        <f t="shared" si="51"/>
        <v>1.0133333333333334</v>
      </c>
      <c r="AV26" t="e">
        <f t="shared" si="51"/>
        <v>#DIV/0!</v>
      </c>
      <c r="AW26">
        <f t="shared" si="51"/>
        <v>367</v>
      </c>
      <c r="AX26">
        <f t="shared" si="51"/>
        <v>367.33333333333331</v>
      </c>
      <c r="BO26">
        <f t="shared" si="51"/>
        <v>0.33333333333333331</v>
      </c>
      <c r="BP26">
        <f t="shared" si="51"/>
        <v>1.0133333333333334</v>
      </c>
      <c r="BQ26">
        <f t="shared" si="51"/>
        <v>0</v>
      </c>
      <c r="BR26">
        <f t="shared" si="51"/>
        <v>1</v>
      </c>
      <c r="BS26">
        <f t="shared" si="51"/>
        <v>0</v>
      </c>
      <c r="BT26">
        <f t="shared" si="51"/>
        <v>1</v>
      </c>
      <c r="BW26">
        <f t="shared" si="51"/>
        <v>0.69175234842447475</v>
      </c>
      <c r="BX26">
        <f t="shared" si="51"/>
        <v>6</v>
      </c>
      <c r="BY26">
        <f t="shared" si="51"/>
        <v>1.4743589743589745</v>
      </c>
      <c r="CB26">
        <f t="shared" si="51"/>
        <v>0.39823002296930071</v>
      </c>
      <c r="CC26">
        <f t="shared" si="51"/>
        <v>0.33333333333333331</v>
      </c>
      <c r="CD26">
        <f t="shared" si="51"/>
        <v>1.0133333333333334</v>
      </c>
      <c r="CF26">
        <f t="shared" si="51"/>
        <v>0</v>
      </c>
      <c r="CG26">
        <f t="shared" ref="CG26" si="52">AVERAGE(CG5,CG6,CG7)</f>
        <v>1.3333333333333345E-2</v>
      </c>
      <c r="CK26">
        <f t="shared" ref="CK26:CN26" si="53">AVERAGE(CK5,CK6,CK7)</f>
        <v>0.29130768313272531</v>
      </c>
      <c r="CL26">
        <f t="shared" si="53"/>
        <v>0.33333333333333331</v>
      </c>
      <c r="CM26">
        <f t="shared" si="53"/>
        <v>1.0133333333333334</v>
      </c>
      <c r="CN26">
        <f t="shared" si="53"/>
        <v>0.98717948717948723</v>
      </c>
      <c r="CO26">
        <f t="shared" ref="CO26:CW26" si="54">AVERAGE(CO5,CO6,CO7)</f>
        <v>0</v>
      </c>
      <c r="CP26">
        <f t="shared" si="54"/>
        <v>1</v>
      </c>
      <c r="CQ26">
        <f t="shared" si="54"/>
        <v>1</v>
      </c>
      <c r="CS26">
        <f t="shared" si="54"/>
        <v>0.53032004254227838</v>
      </c>
      <c r="CT26">
        <f t="shared" si="54"/>
        <v>0</v>
      </c>
      <c r="CU26">
        <f t="shared" si="54"/>
        <v>6</v>
      </c>
      <c r="CV26">
        <f t="shared" si="54"/>
        <v>1.4743589743589745</v>
      </c>
      <c r="CW26">
        <f t="shared" si="54"/>
        <v>0.6995169082125603</v>
      </c>
    </row>
    <row r="27" spans="1:101" x14ac:dyDescent="0.35">
      <c r="A27">
        <f>AVERAGE(A8,A9,A10)</f>
        <v>5</v>
      </c>
      <c r="B27">
        <f t="shared" ref="B27:CF27" si="55">AVERAGE(B8,B9,B10)</f>
        <v>87.666666666666671</v>
      </c>
      <c r="C27">
        <f t="shared" si="55"/>
        <v>137.66666666666666</v>
      </c>
      <c r="E27">
        <f t="shared" si="55"/>
        <v>0.13846666666666665</v>
      </c>
      <c r="F27">
        <f t="shared" si="55"/>
        <v>57.666666666666664</v>
      </c>
      <c r="G27">
        <f t="shared" si="55"/>
        <v>5.333333333333333</v>
      </c>
      <c r="H27">
        <f t="shared" si="55"/>
        <v>70.666666666666671</v>
      </c>
      <c r="I27">
        <f t="shared" si="55"/>
        <v>110.66666666666667</v>
      </c>
      <c r="J27">
        <f t="shared" si="55"/>
        <v>40</v>
      </c>
      <c r="K27">
        <f t="shared" si="55"/>
        <v>1.5668678739101274</v>
      </c>
      <c r="L27">
        <f t="shared" si="55"/>
        <v>9.1333333333333329</v>
      </c>
      <c r="N27">
        <f t="shared" si="55"/>
        <v>0.11536666666666666</v>
      </c>
      <c r="O27">
        <f t="shared" si="55"/>
        <v>23.333333333333332</v>
      </c>
      <c r="P27">
        <f t="shared" si="55"/>
        <v>61</v>
      </c>
      <c r="Q27">
        <f t="shared" si="55"/>
        <v>2.3333333333333335</v>
      </c>
      <c r="R27">
        <f t="shared" si="55"/>
        <v>70.666666666666671</v>
      </c>
      <c r="S27">
        <f t="shared" si="55"/>
        <v>78.333333333333329</v>
      </c>
      <c r="T27">
        <f t="shared" si="55"/>
        <v>7.666666666666667</v>
      </c>
      <c r="U27">
        <f t="shared" si="55"/>
        <v>1.1083836351441985</v>
      </c>
      <c r="V27">
        <f t="shared" si="55"/>
        <v>5.333333333333333</v>
      </c>
      <c r="W27">
        <f t="shared" si="55"/>
        <v>310.66666666666669</v>
      </c>
      <c r="X27">
        <f t="shared" si="55"/>
        <v>318.33333333333331</v>
      </c>
      <c r="Z27">
        <f t="shared" si="55"/>
        <v>0.17176666666666665</v>
      </c>
      <c r="AA27">
        <f t="shared" si="55"/>
        <v>34</v>
      </c>
      <c r="AB27">
        <f t="shared" si="55"/>
        <v>57.666666666666664</v>
      </c>
      <c r="AC27">
        <f t="shared" si="55"/>
        <v>2</v>
      </c>
      <c r="AD27">
        <f t="shared" si="55"/>
        <v>70.666666666666671</v>
      </c>
      <c r="AE27">
        <f t="shared" si="55"/>
        <v>72.333333333333329</v>
      </c>
      <c r="AF27">
        <f t="shared" si="55"/>
        <v>1.6666666666666667</v>
      </c>
      <c r="AG27">
        <f t="shared" si="55"/>
        <v>1.0234741784037558</v>
      </c>
      <c r="AH27" t="e">
        <f t="shared" si="55"/>
        <v>#DIV/0!</v>
      </c>
      <c r="AI27">
        <f t="shared" si="55"/>
        <v>928.33333333333337</v>
      </c>
      <c r="AJ27">
        <f t="shared" si="55"/>
        <v>930</v>
      </c>
      <c r="AL27">
        <f t="shared" si="55"/>
        <v>0.33099999999999996</v>
      </c>
      <c r="AM27">
        <f t="shared" si="55"/>
        <v>23.333333333333332</v>
      </c>
      <c r="AN27">
        <f t="shared" si="55"/>
        <v>59</v>
      </c>
      <c r="AQ27">
        <f t="shared" si="55"/>
        <v>2.6666666666666665</v>
      </c>
      <c r="AR27">
        <f t="shared" si="55"/>
        <v>70.666666666666671</v>
      </c>
      <c r="AS27">
        <f t="shared" si="55"/>
        <v>78.666666666666671</v>
      </c>
      <c r="AT27">
        <f t="shared" si="55"/>
        <v>8</v>
      </c>
      <c r="AU27">
        <f t="shared" si="55"/>
        <v>1.113011401743796</v>
      </c>
      <c r="AV27">
        <f t="shared" si="55"/>
        <v>4.2222222222222223</v>
      </c>
      <c r="AW27">
        <f t="shared" si="55"/>
        <v>928.33333333333337</v>
      </c>
      <c r="AX27">
        <f t="shared" si="55"/>
        <v>936.33333333333337</v>
      </c>
      <c r="BO27">
        <f t="shared" si="55"/>
        <v>3.3333333333333335</v>
      </c>
      <c r="BP27">
        <f t="shared" si="55"/>
        <v>1.0564550264550263</v>
      </c>
      <c r="BQ27">
        <f t="shared" si="55"/>
        <v>0</v>
      </c>
      <c r="BR27">
        <f t="shared" si="55"/>
        <v>1</v>
      </c>
      <c r="BS27">
        <f t="shared" si="55"/>
        <v>1.3333333333333333</v>
      </c>
      <c r="BT27">
        <f t="shared" si="55"/>
        <v>1.0211640211640212</v>
      </c>
      <c r="BW27">
        <f t="shared" si="55"/>
        <v>0.51171733105423123</v>
      </c>
      <c r="BX27">
        <f t="shared" si="55"/>
        <v>10.666666666666666</v>
      </c>
      <c r="BY27">
        <f t="shared" si="55"/>
        <v>1.4755244755244756</v>
      </c>
      <c r="CB27">
        <f t="shared" si="55"/>
        <v>0.35295637329807655</v>
      </c>
      <c r="CC27">
        <f t="shared" si="55"/>
        <v>2</v>
      </c>
      <c r="CD27">
        <f t="shared" si="55"/>
        <v>1.0349751243781096</v>
      </c>
      <c r="CF27">
        <f t="shared" si="55"/>
        <v>0</v>
      </c>
      <c r="CG27">
        <f t="shared" ref="CG27" si="56">AVERAGE(CG8,CG9,CG10)</f>
        <v>3.5291005291005297E-2</v>
      </c>
      <c r="CK27">
        <f t="shared" ref="CK27:CN27" si="57">AVERAGE(CK8,CK9,CK10)</f>
        <v>0.2930221241101672</v>
      </c>
      <c r="CL27">
        <f t="shared" si="57"/>
        <v>3.3333333333333335</v>
      </c>
      <c r="CM27">
        <f t="shared" si="57"/>
        <v>1.0564550264550263</v>
      </c>
      <c r="CN27">
        <f t="shared" si="57"/>
        <v>0.94679666738490253</v>
      </c>
      <c r="CO27">
        <f t="shared" ref="CO27:CW27" si="58">AVERAGE(CO8,CO9,CO10)</f>
        <v>2</v>
      </c>
      <c r="CP27">
        <f t="shared" si="58"/>
        <v>0.92857142857142849</v>
      </c>
      <c r="CQ27">
        <f t="shared" si="58"/>
        <v>1.0909090909090908</v>
      </c>
      <c r="CS27">
        <f t="shared" si="58"/>
        <v>0.41106393420086618</v>
      </c>
      <c r="CT27">
        <f t="shared" si="58"/>
        <v>0</v>
      </c>
      <c r="CU27">
        <f t="shared" si="58"/>
        <v>8.6666666666666661</v>
      </c>
      <c r="CV27">
        <f t="shared" si="58"/>
        <v>1.3261738261738263</v>
      </c>
      <c r="CW27">
        <f t="shared" si="58"/>
        <v>0.77383872166480872</v>
      </c>
    </row>
    <row r="28" spans="1:101" x14ac:dyDescent="0.35">
      <c r="A28">
        <f>AVERAGE(A11,A12,A13)</f>
        <v>6</v>
      </c>
      <c r="B28">
        <f t="shared" ref="B28:CF28" si="59">AVERAGE(B11,B12,B13)</f>
        <v>185</v>
      </c>
      <c r="C28">
        <f t="shared" si="59"/>
        <v>336.33333333333331</v>
      </c>
      <c r="E28">
        <f t="shared" si="59"/>
        <v>0.83360000000000001</v>
      </c>
      <c r="F28">
        <f t="shared" si="59"/>
        <v>144.33333333333334</v>
      </c>
      <c r="G28">
        <f t="shared" si="59"/>
        <v>8.6666666666666661</v>
      </c>
      <c r="H28">
        <f t="shared" si="59"/>
        <v>168.66666666666666</v>
      </c>
      <c r="I28">
        <f t="shared" si="59"/>
        <v>405.66666666666669</v>
      </c>
      <c r="J28">
        <f t="shared" si="59"/>
        <v>237</v>
      </c>
      <c r="K28">
        <f t="shared" si="59"/>
        <v>2.4039413745296101</v>
      </c>
      <c r="L28">
        <f t="shared" si="59"/>
        <v>31.328703703703706</v>
      </c>
      <c r="N28">
        <f t="shared" si="59"/>
        <v>0.47513333333333335</v>
      </c>
      <c r="O28">
        <f t="shared" si="59"/>
        <v>51.666666666666664</v>
      </c>
      <c r="P28">
        <f t="shared" si="59"/>
        <v>149.33333333333334</v>
      </c>
      <c r="Q28">
        <f t="shared" si="59"/>
        <v>3.3333333333333335</v>
      </c>
      <c r="R28">
        <f t="shared" si="59"/>
        <v>168.66666666666666</v>
      </c>
      <c r="S28">
        <f t="shared" si="59"/>
        <v>196.66666666666666</v>
      </c>
      <c r="T28">
        <f t="shared" si="59"/>
        <v>28</v>
      </c>
      <c r="U28">
        <f t="shared" si="59"/>
        <v>1.1674797510710822</v>
      </c>
      <c r="V28">
        <f t="shared" si="59"/>
        <v>11.277777777777777</v>
      </c>
      <c r="W28">
        <f t="shared" si="59"/>
        <v>744.66666666666663</v>
      </c>
      <c r="X28">
        <f t="shared" si="59"/>
        <v>772.66666666666663</v>
      </c>
      <c r="Z28">
        <f t="shared" si="59"/>
        <v>0.78229999999999988</v>
      </c>
      <c r="AA28">
        <f t="shared" si="59"/>
        <v>74.666666666666671</v>
      </c>
      <c r="AB28">
        <f t="shared" si="59"/>
        <v>144.33333333333334</v>
      </c>
      <c r="AC28">
        <f t="shared" si="59"/>
        <v>2.6666666666666665</v>
      </c>
      <c r="AD28">
        <f t="shared" si="59"/>
        <v>168.66666666666666</v>
      </c>
      <c r="AE28">
        <f t="shared" si="59"/>
        <v>178</v>
      </c>
      <c r="AF28">
        <f t="shared" si="59"/>
        <v>9.3333333333333339</v>
      </c>
      <c r="AG28">
        <f t="shared" si="59"/>
        <v>1.0560809331707164</v>
      </c>
      <c r="AH28">
        <f t="shared" si="59"/>
        <v>4.833333333333333</v>
      </c>
      <c r="AI28">
        <f t="shared" si="59"/>
        <v>2233</v>
      </c>
      <c r="AJ28">
        <f t="shared" si="59"/>
        <v>2242.3333333333335</v>
      </c>
      <c r="AL28">
        <f t="shared" si="59"/>
        <v>1.5397333333333332</v>
      </c>
      <c r="AM28">
        <f t="shared" si="59"/>
        <v>51.666666666666664</v>
      </c>
      <c r="AN28">
        <f t="shared" si="59"/>
        <v>147.66666666666666</v>
      </c>
      <c r="AQ28">
        <f t="shared" si="59"/>
        <v>3</v>
      </c>
      <c r="AR28">
        <f t="shared" si="59"/>
        <v>168.66666666666666</v>
      </c>
      <c r="AS28">
        <f t="shared" si="59"/>
        <v>185</v>
      </c>
      <c r="AT28">
        <f t="shared" si="59"/>
        <v>16.333333333333332</v>
      </c>
      <c r="AU28">
        <f t="shared" si="59"/>
        <v>1.0971729680708009</v>
      </c>
      <c r="AV28">
        <f t="shared" si="59"/>
        <v>8.1666666666666661</v>
      </c>
      <c r="AW28">
        <f t="shared" si="59"/>
        <v>2233</v>
      </c>
      <c r="AX28">
        <f t="shared" si="59"/>
        <v>2249.3333333333335</v>
      </c>
      <c r="BO28">
        <f t="shared" si="59"/>
        <v>5</v>
      </c>
      <c r="BP28">
        <f t="shared" si="59"/>
        <v>1.0352942510405525</v>
      </c>
      <c r="BQ28">
        <f t="shared" si="59"/>
        <v>0</v>
      </c>
      <c r="BR28">
        <f t="shared" si="59"/>
        <v>1</v>
      </c>
      <c r="BS28">
        <f t="shared" si="59"/>
        <v>3.3333333333333335</v>
      </c>
      <c r="BT28">
        <f t="shared" si="59"/>
        <v>1.0237427079612906</v>
      </c>
      <c r="BW28">
        <f t="shared" si="59"/>
        <v>0.54098677154562969</v>
      </c>
      <c r="BX28">
        <f t="shared" si="59"/>
        <v>23</v>
      </c>
      <c r="BY28">
        <f t="shared" si="59"/>
        <v>1.4494217687074828</v>
      </c>
      <c r="CB28">
        <f t="shared" si="59"/>
        <v>0.32296767852201014</v>
      </c>
      <c r="CC28">
        <f t="shared" si="59"/>
        <v>1.6666666666666667</v>
      </c>
      <c r="CD28">
        <f t="shared" si="59"/>
        <v>1.0113995519960721</v>
      </c>
      <c r="CF28">
        <f t="shared" si="59"/>
        <v>0</v>
      </c>
      <c r="CG28">
        <f t="shared" ref="CG28" si="60">AVERAGE(CG11,CG12,CG13)</f>
        <v>1.155154307926202E-2</v>
      </c>
      <c r="CK28">
        <f t="shared" ref="CK28:CN28" si="61">AVERAGE(CK11,CK12,CK13)</f>
        <v>0.29781742321415083</v>
      </c>
      <c r="CL28">
        <f t="shared" si="61"/>
        <v>5</v>
      </c>
      <c r="CM28">
        <f t="shared" si="61"/>
        <v>1.0352942510405525</v>
      </c>
      <c r="CN28">
        <f t="shared" si="61"/>
        <v>0.96614005551714122</v>
      </c>
      <c r="CO28">
        <f t="shared" ref="CO28:CW28" si="62">AVERAGE(CO11,CO12,CO13)</f>
        <v>4</v>
      </c>
      <c r="CP28">
        <f t="shared" si="62"/>
        <v>0.929921773142112</v>
      </c>
      <c r="CQ28">
        <f t="shared" si="62"/>
        <v>1.0804081632653062</v>
      </c>
      <c r="CS28">
        <f t="shared" si="62"/>
        <v>0.45669739633078105</v>
      </c>
      <c r="CT28">
        <f t="shared" si="62"/>
        <v>0</v>
      </c>
      <c r="CU28">
        <f t="shared" si="62"/>
        <v>19</v>
      </c>
      <c r="CV28">
        <f t="shared" si="62"/>
        <v>1.3422347426584713</v>
      </c>
      <c r="CW28">
        <f t="shared" si="62"/>
        <v>0.74515709642470196</v>
      </c>
    </row>
    <row r="29" spans="1:101" x14ac:dyDescent="0.35">
      <c r="A29">
        <f>AVERAGE(A14,A15,A16)</f>
        <v>7</v>
      </c>
      <c r="B29">
        <f t="shared" ref="B29:CF29" si="63">AVERAGE(B14,B15,B16)</f>
        <v>279.66666666666669</v>
      </c>
      <c r="C29">
        <f t="shared" si="63"/>
        <v>779</v>
      </c>
      <c r="E29">
        <f t="shared" si="63"/>
        <v>5.1112000000000002</v>
      </c>
      <c r="F29">
        <f t="shared" si="63"/>
        <v>331</v>
      </c>
      <c r="G29">
        <f t="shared" si="63"/>
        <v>12</v>
      </c>
      <c r="H29">
        <f t="shared" si="63"/>
        <v>403.66666666666669</v>
      </c>
      <c r="I29">
        <f t="shared" si="63"/>
        <v>1213.6666666666667</v>
      </c>
      <c r="J29">
        <f t="shared" si="63"/>
        <v>810</v>
      </c>
      <c r="K29">
        <f t="shared" si="63"/>
        <v>3.0044805136977195</v>
      </c>
      <c r="L29">
        <f t="shared" si="63"/>
        <v>75.956349206349202</v>
      </c>
      <c r="N29">
        <f t="shared" si="63"/>
        <v>2.3789666666666669</v>
      </c>
      <c r="O29">
        <f t="shared" si="63"/>
        <v>90</v>
      </c>
      <c r="P29">
        <f t="shared" si="63"/>
        <v>355.33333333333331</v>
      </c>
      <c r="Q29">
        <f t="shared" si="63"/>
        <v>3.3333333333333335</v>
      </c>
      <c r="R29">
        <f t="shared" si="63"/>
        <v>403.66666666666669</v>
      </c>
      <c r="S29">
        <f t="shared" si="63"/>
        <v>517</v>
      </c>
      <c r="T29">
        <f t="shared" si="63"/>
        <v>113.33333333333333</v>
      </c>
      <c r="U29">
        <f t="shared" si="63"/>
        <v>1.2838188765252616</v>
      </c>
      <c r="V29">
        <f t="shared" si="63"/>
        <v>76.25</v>
      </c>
      <c r="W29">
        <f t="shared" si="63"/>
        <v>1747.6666666666667</v>
      </c>
      <c r="X29">
        <f t="shared" si="63"/>
        <v>1861</v>
      </c>
      <c r="Z29">
        <f t="shared" si="63"/>
        <v>2.6058333333333334</v>
      </c>
      <c r="AA29">
        <f t="shared" si="63"/>
        <v>132.33333333333334</v>
      </c>
      <c r="AB29">
        <f t="shared" si="63"/>
        <v>331</v>
      </c>
      <c r="AC29">
        <f t="shared" si="63"/>
        <v>2</v>
      </c>
      <c r="AD29">
        <f t="shared" si="63"/>
        <v>403.66666666666669</v>
      </c>
      <c r="AE29">
        <f t="shared" si="63"/>
        <v>405.66666666666669</v>
      </c>
      <c r="AF29">
        <f t="shared" si="63"/>
        <v>2</v>
      </c>
      <c r="AG29">
        <f t="shared" si="63"/>
        <v>1.0048818400408035</v>
      </c>
      <c r="AH29" t="e">
        <f t="shared" si="63"/>
        <v>#DIV/0!</v>
      </c>
      <c r="AI29">
        <f t="shared" si="63"/>
        <v>5214.666666666667</v>
      </c>
      <c r="AJ29">
        <f t="shared" si="63"/>
        <v>5216.666666666667</v>
      </c>
      <c r="AL29">
        <f t="shared" si="63"/>
        <v>8.3448999999999991</v>
      </c>
      <c r="AM29">
        <f t="shared" si="63"/>
        <v>90</v>
      </c>
      <c r="AN29">
        <f t="shared" si="63"/>
        <v>352.33333333333331</v>
      </c>
      <c r="AQ29">
        <f t="shared" si="63"/>
        <v>4.666666666666667</v>
      </c>
      <c r="AR29">
        <f t="shared" si="63"/>
        <v>403.66666666666669</v>
      </c>
      <c r="AS29">
        <f t="shared" si="63"/>
        <v>478</v>
      </c>
      <c r="AT29">
        <f t="shared" si="63"/>
        <v>74.333333333333329</v>
      </c>
      <c r="AU29">
        <f t="shared" si="63"/>
        <v>1.1844129243274315</v>
      </c>
      <c r="AV29">
        <f t="shared" si="63"/>
        <v>20.666666666666668</v>
      </c>
      <c r="AW29">
        <f t="shared" si="63"/>
        <v>5214.666666666667</v>
      </c>
      <c r="AX29">
        <f t="shared" si="63"/>
        <v>5289</v>
      </c>
      <c r="BO29">
        <f t="shared" si="63"/>
        <v>24.333333333333332</v>
      </c>
      <c r="BP29">
        <f t="shared" si="63"/>
        <v>1.073539383203417</v>
      </c>
      <c r="BQ29">
        <f t="shared" si="63"/>
        <v>0</v>
      </c>
      <c r="BR29">
        <f t="shared" si="63"/>
        <v>1</v>
      </c>
      <c r="BS29">
        <f t="shared" si="63"/>
        <v>21.333333333333332</v>
      </c>
      <c r="BT29">
        <f t="shared" si="63"/>
        <v>1.0644576291065571</v>
      </c>
      <c r="BW29">
        <f t="shared" si="63"/>
        <v>0.33811439505416985</v>
      </c>
      <c r="BX29">
        <f t="shared" si="63"/>
        <v>42.333333333333336</v>
      </c>
      <c r="BY29">
        <f t="shared" si="63"/>
        <v>1.4790505675954593</v>
      </c>
      <c r="CB29">
        <f t="shared" si="63"/>
        <v>0.30136603746947682</v>
      </c>
      <c r="CC29">
        <f t="shared" si="63"/>
        <v>3</v>
      </c>
      <c r="CD29">
        <f t="shared" si="63"/>
        <v>1.00851467937162</v>
      </c>
      <c r="CF29">
        <f t="shared" si="63"/>
        <v>0</v>
      </c>
      <c r="CG29">
        <f t="shared" ref="CG29" si="64">AVERAGE(CG14,CG15,CG16)</f>
        <v>9.0817540968598873E-3</v>
      </c>
      <c r="CK29">
        <f t="shared" ref="CK29:CN29" si="65">AVERAGE(CK14,CK15,CK16)</f>
        <v>0.35911850230621717</v>
      </c>
      <c r="CL29">
        <f t="shared" si="65"/>
        <v>24.333333333333332</v>
      </c>
      <c r="CM29">
        <f t="shared" si="65"/>
        <v>1.073539383203417</v>
      </c>
      <c r="CN29">
        <f t="shared" si="65"/>
        <v>0.93158160285930036</v>
      </c>
      <c r="CO29">
        <f t="shared" ref="CO29:CW29" si="66">AVERAGE(CO14,CO15,CO16)</f>
        <v>13.333333333333334</v>
      </c>
      <c r="CP29">
        <f t="shared" si="66"/>
        <v>0.87244650798229895</v>
      </c>
      <c r="CQ29">
        <f t="shared" si="66"/>
        <v>1.1517715858273132</v>
      </c>
      <c r="CS29">
        <f t="shared" si="66"/>
        <v>0.38685388176353608</v>
      </c>
      <c r="CT29">
        <f t="shared" si="66"/>
        <v>0</v>
      </c>
      <c r="CU29">
        <f t="shared" si="66"/>
        <v>29</v>
      </c>
      <c r="CV29">
        <f t="shared" si="66"/>
        <v>1.2785794247374163</v>
      </c>
      <c r="CW29">
        <f t="shared" si="66"/>
        <v>0.78517115578398455</v>
      </c>
    </row>
    <row r="30" spans="1:101" x14ac:dyDescent="0.35">
      <c r="A30">
        <f>AVERAGE(A17,A18,A19)</f>
        <v>8</v>
      </c>
      <c r="B30">
        <f t="shared" ref="B30:CF30" si="67">AVERAGE(B17,B18,B19)</f>
        <v>374</v>
      </c>
      <c r="C30">
        <f t="shared" si="67"/>
        <v>1814.3333333333333</v>
      </c>
      <c r="E30">
        <f t="shared" si="67"/>
        <v>48.572499999999998</v>
      </c>
      <c r="F30">
        <f t="shared" si="67"/>
        <v>790.33333333333337</v>
      </c>
      <c r="G30">
        <f t="shared" si="67"/>
        <v>20.666666666666668</v>
      </c>
      <c r="H30">
        <f t="shared" si="67"/>
        <v>939.33333333333337</v>
      </c>
      <c r="I30">
        <f t="shared" si="67"/>
        <v>4110.666666666667</v>
      </c>
      <c r="J30">
        <f t="shared" si="67"/>
        <v>3171.3333333333335</v>
      </c>
      <c r="K30">
        <f t="shared" si="67"/>
        <v>4.3748810255901267</v>
      </c>
      <c r="L30">
        <f t="shared" si="67"/>
        <v>183.75446428571431</v>
      </c>
      <c r="N30">
        <f t="shared" si="67"/>
        <v>12.588166666666666</v>
      </c>
      <c r="O30">
        <f t="shared" si="67"/>
        <v>130</v>
      </c>
      <c r="P30">
        <f t="shared" si="67"/>
        <v>849.33333333333337</v>
      </c>
      <c r="Q30">
        <f t="shared" si="67"/>
        <v>4</v>
      </c>
      <c r="R30">
        <f t="shared" si="67"/>
        <v>939.33333333333337</v>
      </c>
      <c r="S30">
        <f t="shared" si="67"/>
        <v>1152</v>
      </c>
      <c r="T30">
        <f t="shared" si="67"/>
        <v>212.66666666666666</v>
      </c>
      <c r="U30">
        <f t="shared" si="67"/>
        <v>1.2257354626217121</v>
      </c>
      <c r="V30">
        <f t="shared" si="67"/>
        <v>75.2</v>
      </c>
      <c r="W30">
        <f t="shared" si="67"/>
        <v>4011.3333333333335</v>
      </c>
      <c r="X30">
        <f t="shared" si="67"/>
        <v>4224</v>
      </c>
      <c r="Z30">
        <f t="shared" si="67"/>
        <v>10.379466666666666</v>
      </c>
      <c r="AA30">
        <f t="shared" si="67"/>
        <v>202.66666666666666</v>
      </c>
      <c r="AB30">
        <f t="shared" si="67"/>
        <v>790.33333333333337</v>
      </c>
      <c r="AC30">
        <f t="shared" si="67"/>
        <v>1</v>
      </c>
      <c r="AD30">
        <f t="shared" si="67"/>
        <v>939.33333333333337</v>
      </c>
      <c r="AE30">
        <f t="shared" si="67"/>
        <v>939.33333333333337</v>
      </c>
      <c r="AF30">
        <f t="shared" si="67"/>
        <v>0</v>
      </c>
      <c r="AG30">
        <f t="shared" si="67"/>
        <v>1</v>
      </c>
      <c r="AH30" t="e">
        <f t="shared" si="67"/>
        <v>#DIV/0!</v>
      </c>
      <c r="AI30">
        <f t="shared" si="67"/>
        <v>11969.666666666666</v>
      </c>
      <c r="AJ30">
        <f t="shared" si="67"/>
        <v>11969.666666666666</v>
      </c>
      <c r="AL30">
        <f t="shared" si="67"/>
        <v>78.547899999999984</v>
      </c>
      <c r="AM30">
        <f t="shared" si="67"/>
        <v>130</v>
      </c>
      <c r="AN30">
        <f t="shared" si="67"/>
        <v>841.33333333333337</v>
      </c>
      <c r="AQ30">
        <f t="shared" si="67"/>
        <v>4</v>
      </c>
      <c r="AR30">
        <f t="shared" si="67"/>
        <v>939.33333333333337</v>
      </c>
      <c r="AS30">
        <f t="shared" si="67"/>
        <v>1287</v>
      </c>
      <c r="AT30">
        <f t="shared" si="67"/>
        <v>347.66666666666669</v>
      </c>
      <c r="AU30">
        <f t="shared" si="67"/>
        <v>1.3691058732797519</v>
      </c>
      <c r="AV30">
        <f t="shared" si="67"/>
        <v>102.15555555555557</v>
      </c>
      <c r="AW30">
        <f t="shared" si="67"/>
        <v>11969.666666666666</v>
      </c>
      <c r="AX30">
        <f t="shared" si="67"/>
        <v>12317.333333333334</v>
      </c>
      <c r="BO30">
        <f t="shared" si="67"/>
        <v>59</v>
      </c>
      <c r="BP30">
        <f t="shared" si="67"/>
        <v>1.0739745492200701</v>
      </c>
      <c r="BQ30">
        <f t="shared" si="67"/>
        <v>0</v>
      </c>
      <c r="BR30">
        <f t="shared" si="67"/>
        <v>1</v>
      </c>
      <c r="BS30">
        <f t="shared" si="67"/>
        <v>51</v>
      </c>
      <c r="BT30">
        <f t="shared" si="67"/>
        <v>1.063941542631343</v>
      </c>
      <c r="BW30">
        <f t="shared" si="67"/>
        <v>0.22689380292729444</v>
      </c>
      <c r="BX30">
        <f t="shared" si="67"/>
        <v>72.666666666666671</v>
      </c>
      <c r="BY30">
        <f t="shared" si="67"/>
        <v>1.5663167751513078</v>
      </c>
      <c r="CB30">
        <f t="shared" si="67"/>
        <v>0.25036691733491734</v>
      </c>
      <c r="CC30">
        <f t="shared" si="67"/>
        <v>8</v>
      </c>
      <c r="CD30">
        <f t="shared" si="67"/>
        <v>1.009438950763333</v>
      </c>
      <c r="CF30">
        <f t="shared" si="67"/>
        <v>0</v>
      </c>
      <c r="CG30">
        <f t="shared" ref="CG30" si="68">AVERAGE(CG17,CG18,CG19)</f>
        <v>1.0033006588727078E-2</v>
      </c>
      <c r="CK30">
        <f t="shared" ref="CK30:CN30" si="69">AVERAGE(CK17,CK18,CK19)</f>
        <v>0.22718682410307248</v>
      </c>
      <c r="CL30">
        <f t="shared" si="69"/>
        <v>59</v>
      </c>
      <c r="CM30">
        <f t="shared" si="69"/>
        <v>1.0739745492200701</v>
      </c>
      <c r="CN30">
        <f t="shared" si="69"/>
        <v>0.93196417529034381</v>
      </c>
      <c r="CO30">
        <f t="shared" ref="CO30:CW30" si="70">AVERAGE(CO17,CO18,CO19)</f>
        <v>25</v>
      </c>
      <c r="CP30">
        <f t="shared" si="70"/>
        <v>0.83950538350776904</v>
      </c>
      <c r="CQ30">
        <f t="shared" si="70"/>
        <v>1.1958946366716152</v>
      </c>
      <c r="CS30">
        <f t="shared" si="70"/>
        <v>0.2051434969165381</v>
      </c>
      <c r="CT30">
        <f t="shared" si="70"/>
        <v>0</v>
      </c>
      <c r="CU30">
        <f t="shared" si="70"/>
        <v>47.666666666666664</v>
      </c>
      <c r="CV30">
        <f t="shared" si="70"/>
        <v>1.3066473605410014</v>
      </c>
      <c r="CW30">
        <f t="shared" si="70"/>
        <v>0.76671590834720138</v>
      </c>
    </row>
    <row r="31" spans="1:101" x14ac:dyDescent="0.35">
      <c r="A31">
        <f>AVERAGE(A20,A21,A22)</f>
        <v>9</v>
      </c>
      <c r="B31">
        <f t="shared" ref="B31:CF31" si="71">AVERAGE(B20,B21,B22)</f>
        <v>472</v>
      </c>
      <c r="C31">
        <f t="shared" si="71"/>
        <v>4030</v>
      </c>
      <c r="E31">
        <f t="shared" si="71"/>
        <v>11339.175266666665</v>
      </c>
      <c r="F31">
        <f t="shared" si="71"/>
        <v>1726</v>
      </c>
      <c r="G31">
        <f t="shared" si="71"/>
        <v>124</v>
      </c>
      <c r="H31">
        <f t="shared" si="71"/>
        <v>2089.6666666666665</v>
      </c>
      <c r="I31">
        <f t="shared" si="71"/>
        <v>24911</v>
      </c>
      <c r="J31">
        <f t="shared" si="71"/>
        <v>22821.333333333332</v>
      </c>
      <c r="K31">
        <f t="shared" si="71"/>
        <v>11.910562005714837</v>
      </c>
      <c r="L31">
        <f t="shared" si="71"/>
        <v>188.58972705781215</v>
      </c>
      <c r="N31">
        <f t="shared" si="71"/>
        <v>73.592366666666678</v>
      </c>
      <c r="O31">
        <f t="shared" si="71"/>
        <v>168.33333333333334</v>
      </c>
      <c r="P31">
        <f t="shared" si="71"/>
        <v>1896</v>
      </c>
      <c r="Q31">
        <f t="shared" si="71"/>
        <v>3</v>
      </c>
      <c r="R31">
        <f t="shared" si="71"/>
        <v>2089.6666666666665</v>
      </c>
      <c r="S31">
        <f t="shared" si="71"/>
        <v>2377.3333333333335</v>
      </c>
      <c r="T31">
        <f t="shared" si="71"/>
        <v>287.66666666666669</v>
      </c>
      <c r="U31">
        <f t="shared" si="71"/>
        <v>1.1374788417221744</v>
      </c>
      <c r="V31">
        <f t="shared" si="71"/>
        <v>143.83333333333334</v>
      </c>
      <c r="W31">
        <f t="shared" si="71"/>
        <v>9001.6666666666661</v>
      </c>
      <c r="X31">
        <f t="shared" si="71"/>
        <v>9289.3333333333339</v>
      </c>
      <c r="Z31">
        <f t="shared" si="71"/>
        <v>72.956400000000002</v>
      </c>
      <c r="AA31">
        <f t="shared" si="71"/>
        <v>278.33333333333331</v>
      </c>
      <c r="AB31">
        <f t="shared" si="71"/>
        <v>1726</v>
      </c>
      <c r="AC31">
        <f t="shared" si="71"/>
        <v>1.3333333333333333</v>
      </c>
      <c r="AD31">
        <f t="shared" si="71"/>
        <v>2089.6666666666665</v>
      </c>
      <c r="AE31">
        <f t="shared" si="71"/>
        <v>2090</v>
      </c>
      <c r="AF31">
        <f t="shared" si="71"/>
        <v>0.33333333333333331</v>
      </c>
      <c r="AG31">
        <f t="shared" si="71"/>
        <v>1.0001605651894669</v>
      </c>
      <c r="AH31" t="e">
        <f t="shared" si="71"/>
        <v>#DIV/0!</v>
      </c>
      <c r="AI31">
        <f t="shared" si="71"/>
        <v>26855.666666666668</v>
      </c>
      <c r="AJ31">
        <f t="shared" si="71"/>
        <v>26856</v>
      </c>
      <c r="AL31">
        <f t="shared" si="71"/>
        <v>1750.8507666666667</v>
      </c>
      <c r="AM31">
        <f t="shared" si="71"/>
        <v>168.33333333333334</v>
      </c>
      <c r="AN31">
        <f t="shared" si="71"/>
        <v>1866.6666666666667</v>
      </c>
      <c r="AQ31">
        <f t="shared" si="71"/>
        <v>4.666666666666667</v>
      </c>
      <c r="AR31">
        <f t="shared" si="71"/>
        <v>2089.6666666666665</v>
      </c>
      <c r="AS31">
        <f t="shared" si="71"/>
        <v>2446.6666666666665</v>
      </c>
      <c r="AT31">
        <f t="shared" si="71"/>
        <v>357</v>
      </c>
      <c r="AU31">
        <f t="shared" si="71"/>
        <v>1.1704845016773417</v>
      </c>
      <c r="AV31">
        <f t="shared" si="71"/>
        <v>104.5</v>
      </c>
      <c r="AW31">
        <f t="shared" si="71"/>
        <v>26855.666666666668</v>
      </c>
      <c r="AX31">
        <f t="shared" si="71"/>
        <v>27212.666666666668</v>
      </c>
      <c r="BO31">
        <f t="shared" si="71"/>
        <v>170</v>
      </c>
      <c r="BP31">
        <f t="shared" si="71"/>
        <v>1.098338766403461</v>
      </c>
      <c r="BQ31">
        <f t="shared" si="71"/>
        <v>0</v>
      </c>
      <c r="BR31">
        <f t="shared" si="71"/>
        <v>1</v>
      </c>
      <c r="BS31">
        <f t="shared" si="71"/>
        <v>140.66666666666666</v>
      </c>
      <c r="BT31">
        <f t="shared" si="71"/>
        <v>1.0812736483153043</v>
      </c>
      <c r="BW31">
        <f t="shared" si="71"/>
        <v>0.2476455081169987</v>
      </c>
      <c r="BX31">
        <f t="shared" si="71"/>
        <v>110</v>
      </c>
      <c r="BY31">
        <f t="shared" si="71"/>
        <v>1.6524135800444453</v>
      </c>
      <c r="CB31">
        <f t="shared" si="71"/>
        <v>0.22286654726615893</v>
      </c>
      <c r="CC31">
        <f t="shared" si="71"/>
        <v>29.333333333333332</v>
      </c>
      <c r="CD31">
        <f t="shared" si="71"/>
        <v>1.0162530302773274</v>
      </c>
      <c r="CF31">
        <f t="shared" si="71"/>
        <v>0</v>
      </c>
      <c r="CG31">
        <f t="shared" ref="CG31" si="72">AVERAGE(CG20,CG21,CG22)</f>
        <v>1.7065118088156767E-2</v>
      </c>
      <c r="CK31">
        <f t="shared" ref="CK31:CN31" si="73">AVERAGE(CK20,CK21,CK22)</f>
        <v>7.9638127418844851E-2</v>
      </c>
      <c r="CL31">
        <f t="shared" si="73"/>
        <v>170</v>
      </c>
      <c r="CM31">
        <f t="shared" si="73"/>
        <v>1.098338766403461</v>
      </c>
      <c r="CN31">
        <f t="shared" si="73"/>
        <v>0.91078414120187789</v>
      </c>
      <c r="CO31">
        <f t="shared" ref="CO31:CW31" si="74">AVERAGE(CO20,CO21,CO22)</f>
        <v>40</v>
      </c>
      <c r="CP31">
        <f t="shared" si="74"/>
        <v>0.80824599381775408</v>
      </c>
      <c r="CQ31">
        <f t="shared" si="74"/>
        <v>1.2387641512528289</v>
      </c>
      <c r="CS31">
        <f t="shared" si="74"/>
        <v>7.5956995167525895E-2</v>
      </c>
      <c r="CT31">
        <f t="shared" si="74"/>
        <v>0</v>
      </c>
      <c r="CU31">
        <f t="shared" si="74"/>
        <v>70</v>
      </c>
      <c r="CV31">
        <f t="shared" si="74"/>
        <v>1.3353932693833446</v>
      </c>
      <c r="CW31">
        <f t="shared" si="74"/>
        <v>0.74992514046732239</v>
      </c>
    </row>
    <row r="33" spans="68:77" x14ac:dyDescent="0.35">
      <c r="BP33">
        <f>AVERAGE(BP22,BP21,BP20,BP19,BP18,BP17,BP16,BP15,BP14,BP13,BP12,BP11,BP10,BP9,BP8,BP7,BP6,BP5)</f>
        <v>1.0584892182759766</v>
      </c>
      <c r="BY33">
        <f>AVERAGE(BY22,BY21,BY20,BY19,BY18,BY17,BY16,BY15,BY14,BY13,BY12,BY11,BY10,BY9,BY8,BY7,BY6,BY5,BY4,BY3,BY2)</f>
        <v>1.6051392900387189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3C5D1-6482-40D5-89DC-E7CF6DBA0BD8}">
  <dimension ref="A1:CZ26"/>
  <sheetViews>
    <sheetView zoomScale="115" zoomScaleNormal="115" workbookViewId="0">
      <pane ySplit="1" topLeftCell="A10" activePane="bottomLeft" state="frozen"/>
      <selection pane="bottomLeft" activeCell="E26" sqref="E26"/>
    </sheetView>
  </sheetViews>
  <sheetFormatPr defaultRowHeight="14.5" x14ac:dyDescent="0.35"/>
  <cols>
    <col min="4" max="4" width="9.453125" style="3" customWidth="1"/>
    <col min="6" max="6" width="11.08984375" customWidth="1"/>
    <col min="7" max="7" width="6.36328125" customWidth="1"/>
    <col min="8" max="8" width="10" customWidth="1"/>
    <col min="9" max="9" width="11.453125" customWidth="1"/>
    <col min="10" max="11" width="6.08984375" customWidth="1"/>
    <col min="12" max="12" width="12.26953125" customWidth="1"/>
    <col min="13" max="13" width="8.7265625" style="3"/>
    <col min="15" max="15" width="10.453125" customWidth="1"/>
    <col min="16" max="16" width="11.08984375" customWidth="1"/>
    <col min="17" max="17" width="6.36328125" customWidth="1"/>
    <col min="18" max="18" width="12.7265625" customWidth="1"/>
    <col min="19" max="19" width="14.54296875" customWidth="1"/>
    <col min="20" max="20" width="9.90625" customWidth="1"/>
    <col min="21" max="21" width="10.90625" customWidth="1"/>
    <col min="22" max="22" width="11.7265625" customWidth="1"/>
    <col min="23" max="23" width="10.7265625" customWidth="1"/>
    <col min="24" max="24" width="12.08984375" customWidth="1"/>
    <col min="25" max="25" width="9.453125" style="3" customWidth="1"/>
    <col min="27" max="27" width="10.453125" customWidth="1"/>
    <col min="28" max="28" width="11.08984375" customWidth="1"/>
    <col min="29" max="29" width="6.36328125" customWidth="1"/>
    <col min="30" max="30" width="13.453125" customWidth="1"/>
    <col min="31" max="31" width="15" customWidth="1"/>
    <col min="32" max="33" width="11" customWidth="1"/>
    <col min="34" max="34" width="12.08984375" customWidth="1"/>
    <col min="35" max="35" width="11.90625" customWidth="1"/>
    <col min="36" max="36" width="13" customWidth="1"/>
    <col min="37" max="37" width="15.6328125" style="3" customWidth="1"/>
    <col min="39" max="39" width="11.36328125" customWidth="1"/>
    <col min="40" max="40" width="14.90625" customWidth="1"/>
    <col min="41" max="41" width="15.36328125" customWidth="1"/>
    <col min="42" max="42" width="8.81640625" customWidth="1"/>
    <col min="44" max="44" width="13.54296875" customWidth="1"/>
    <col min="45" max="45" width="14.90625" customWidth="1"/>
    <col min="46" max="46" width="11.1796875" customWidth="1"/>
    <col min="47" max="47" width="11.08984375" customWidth="1"/>
    <col min="48" max="48" width="11.90625" customWidth="1"/>
    <col min="49" max="49" width="11.7265625" customWidth="1"/>
    <col min="50" max="50" width="12.7265625" customWidth="1"/>
    <col min="51" max="51" width="16.26953125" style="3" customWidth="1"/>
    <col min="52" max="52" width="8.1796875" customWidth="1"/>
    <col min="53" max="53" width="14" customWidth="1"/>
    <col min="54" max="54" width="14.90625" customWidth="1"/>
    <col min="55" max="55" width="10.08984375" customWidth="1"/>
    <col min="56" max="56" width="11.90625" customWidth="1"/>
    <col min="57" max="57" width="6.54296875" customWidth="1"/>
    <col min="58" max="58" width="13" customWidth="1"/>
    <col min="59" max="59" width="14" customWidth="1"/>
    <col min="60" max="60" width="9.54296875" customWidth="1"/>
    <col min="61" max="61" width="10.81640625" customWidth="1"/>
    <col min="62" max="62" width="11.81640625" customWidth="1"/>
    <col min="63" max="63" width="11.08984375" customWidth="1"/>
    <col min="64" max="64" width="12.54296875" customWidth="1"/>
    <col min="65" max="65" width="12.90625" style="3" customWidth="1"/>
    <col min="66" max="66" width="8.7265625" style="3"/>
    <col min="67" max="67" width="9.81640625" customWidth="1"/>
    <col min="68" max="68" width="10.36328125" customWidth="1"/>
    <col min="69" max="69" width="10.6328125" customWidth="1"/>
    <col min="70" max="70" width="11.36328125" customWidth="1"/>
    <col min="73" max="73" width="18.81640625" style="3" customWidth="1"/>
    <col min="74" max="74" width="11.08984375" customWidth="1"/>
    <col min="75" max="75" width="15.453125" customWidth="1"/>
    <col min="76" max="77" width="16.08984375" customWidth="1"/>
    <col min="78" max="79" width="16.6328125" customWidth="1"/>
    <col min="80" max="80" width="18.81640625" style="3" customWidth="1"/>
    <col min="81" max="81" width="11.90625" customWidth="1"/>
    <col min="82" max="82" width="15.6328125" customWidth="1"/>
    <col min="83" max="83" width="16.54296875" customWidth="1"/>
    <col min="84" max="84" width="17.7265625" customWidth="1"/>
    <col min="85" max="85" width="19" customWidth="1"/>
    <col min="86" max="86" width="18.08984375" style="3" customWidth="1"/>
    <col min="87" max="87" width="11.90625" customWidth="1"/>
    <col min="88" max="88" width="16.08984375" customWidth="1"/>
    <col min="89" max="89" width="16.6328125" customWidth="1"/>
    <col min="90" max="90" width="19.08984375" customWidth="1"/>
    <col min="91" max="91" width="18" style="3" customWidth="1"/>
    <col min="92" max="92" width="12" customWidth="1"/>
    <col min="93" max="93" width="16.81640625" customWidth="1"/>
    <col min="94" max="94" width="16.26953125" customWidth="1"/>
    <col min="95" max="95" width="17" customWidth="1"/>
    <col min="96" max="96" width="11.08984375" customWidth="1"/>
    <col min="97" max="97" width="15.7265625" customWidth="1"/>
    <col min="98" max="98" width="16.26953125" customWidth="1"/>
    <col min="99" max="99" width="17.81640625" style="3" customWidth="1"/>
    <col min="100" max="100" width="12.1796875" customWidth="1"/>
    <col min="101" max="101" width="18" customWidth="1"/>
    <col min="102" max="102" width="11.1796875" customWidth="1"/>
    <col min="103" max="104" width="11.90625" customWidth="1"/>
  </cols>
  <sheetData>
    <row r="1" spans="1:104" s="1" customForma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9</v>
      </c>
      <c r="F1" s="1" t="s">
        <v>4</v>
      </c>
      <c r="G1" s="1" t="s">
        <v>6</v>
      </c>
      <c r="H1" s="1" t="s">
        <v>16</v>
      </c>
      <c r="I1" s="1" t="s">
        <v>17</v>
      </c>
      <c r="J1" s="1" t="s">
        <v>14</v>
      </c>
      <c r="K1" s="1" t="s">
        <v>19</v>
      </c>
      <c r="L1" s="1" t="s">
        <v>15</v>
      </c>
      <c r="M1" s="2" t="s">
        <v>7</v>
      </c>
      <c r="N1" s="1" t="s">
        <v>9</v>
      </c>
      <c r="O1" s="1" t="s">
        <v>5</v>
      </c>
      <c r="P1" s="1" t="s">
        <v>4</v>
      </c>
      <c r="Q1" s="1" t="s">
        <v>6</v>
      </c>
      <c r="R1" s="1" t="s">
        <v>13</v>
      </c>
      <c r="S1" s="1" t="s">
        <v>12</v>
      </c>
      <c r="T1" s="1" t="s">
        <v>18</v>
      </c>
      <c r="U1" s="1" t="s">
        <v>20</v>
      </c>
      <c r="V1" s="1" t="s">
        <v>15</v>
      </c>
      <c r="W1" s="1" t="s">
        <v>11</v>
      </c>
      <c r="X1" s="1" t="s">
        <v>10</v>
      </c>
      <c r="Y1" s="2" t="s">
        <v>8</v>
      </c>
      <c r="Z1" s="1" t="s">
        <v>9</v>
      </c>
      <c r="AA1" s="1" t="s">
        <v>5</v>
      </c>
      <c r="AB1" s="1" t="s">
        <v>4</v>
      </c>
      <c r="AC1" s="1" t="s">
        <v>6</v>
      </c>
      <c r="AD1" s="1" t="s">
        <v>13</v>
      </c>
      <c r="AE1" s="1" t="s">
        <v>12</v>
      </c>
      <c r="AF1" s="1" t="s">
        <v>18</v>
      </c>
      <c r="AG1" s="1" t="s">
        <v>20</v>
      </c>
      <c r="AH1" s="1" t="s">
        <v>15</v>
      </c>
      <c r="AI1" s="1" t="s">
        <v>11</v>
      </c>
      <c r="AJ1" s="1" t="s">
        <v>10</v>
      </c>
      <c r="AK1" s="2" t="s">
        <v>51</v>
      </c>
      <c r="AL1" s="1" t="s">
        <v>9</v>
      </c>
      <c r="AM1" s="1" t="s">
        <v>5</v>
      </c>
      <c r="AN1" s="1" t="s">
        <v>76</v>
      </c>
      <c r="AO1" s="1" t="s">
        <v>77</v>
      </c>
      <c r="AP1" s="1" t="s">
        <v>80</v>
      </c>
      <c r="AQ1" s="1" t="s">
        <v>21</v>
      </c>
      <c r="AR1" s="1" t="s">
        <v>13</v>
      </c>
      <c r="AS1" s="1" t="s">
        <v>12</v>
      </c>
      <c r="AT1" s="1" t="s">
        <v>18</v>
      </c>
      <c r="AU1" s="1" t="s">
        <v>20</v>
      </c>
      <c r="AV1" s="1" t="s">
        <v>15</v>
      </c>
      <c r="AW1" s="1" t="s">
        <v>11</v>
      </c>
      <c r="AX1" s="1" t="s">
        <v>10</v>
      </c>
      <c r="AY1" s="2" t="s">
        <v>52</v>
      </c>
      <c r="AZ1" s="1" t="s">
        <v>9</v>
      </c>
      <c r="BA1" s="1" t="s">
        <v>78</v>
      </c>
      <c r="BB1" s="1" t="s">
        <v>79</v>
      </c>
      <c r="BC1" s="1" t="s">
        <v>80</v>
      </c>
      <c r="BD1" s="1" t="s">
        <v>4</v>
      </c>
      <c r="BE1" s="1" t="s">
        <v>21</v>
      </c>
      <c r="BF1" s="1" t="s">
        <v>13</v>
      </c>
      <c r="BG1" s="1" t="s">
        <v>12</v>
      </c>
      <c r="BH1" s="1" t="s">
        <v>18</v>
      </c>
      <c r="BI1" s="1" t="s">
        <v>20</v>
      </c>
      <c r="BJ1" s="1" t="s">
        <v>15</v>
      </c>
      <c r="BK1" s="1" t="s">
        <v>11</v>
      </c>
      <c r="BL1" s="1" t="s">
        <v>10</v>
      </c>
      <c r="BM1" s="2" t="s">
        <v>24</v>
      </c>
      <c r="BN1" s="2" t="s">
        <v>29</v>
      </c>
      <c r="BO1" s="1" t="s">
        <v>25</v>
      </c>
      <c r="BP1" s="1" t="s">
        <v>26</v>
      </c>
      <c r="BQ1" s="1" t="s">
        <v>27</v>
      </c>
      <c r="BR1" s="1" t="s">
        <v>28</v>
      </c>
      <c r="BS1" s="1" t="s">
        <v>48</v>
      </c>
      <c r="BT1" s="1" t="s">
        <v>90</v>
      </c>
      <c r="BU1" s="2" t="s">
        <v>33</v>
      </c>
      <c r="BV1" s="1" t="s">
        <v>30</v>
      </c>
      <c r="BW1" s="1" t="s">
        <v>31</v>
      </c>
      <c r="BX1" s="1" t="s">
        <v>32</v>
      </c>
      <c r="BY1" s="1" t="s">
        <v>39</v>
      </c>
      <c r="BZ1" s="1" t="s">
        <v>40</v>
      </c>
      <c r="CA1" s="1" t="s">
        <v>47</v>
      </c>
      <c r="CB1" s="2" t="s">
        <v>50</v>
      </c>
      <c r="CC1" s="1" t="s">
        <v>36</v>
      </c>
      <c r="CD1" s="1" t="s">
        <v>35</v>
      </c>
      <c r="CE1" s="1" t="s">
        <v>34</v>
      </c>
      <c r="CF1" s="1" t="s">
        <v>37</v>
      </c>
      <c r="CG1" s="1" t="s">
        <v>38</v>
      </c>
      <c r="CH1" s="2" t="s">
        <v>54</v>
      </c>
      <c r="CI1" s="1" t="s">
        <v>42</v>
      </c>
      <c r="CJ1" s="1" t="s">
        <v>43</v>
      </c>
      <c r="CK1" s="1" t="s">
        <v>44</v>
      </c>
      <c r="CL1" s="1" t="s">
        <v>45</v>
      </c>
      <c r="CM1" s="2" t="s">
        <v>53</v>
      </c>
      <c r="CN1" s="1" t="s">
        <v>36</v>
      </c>
      <c r="CO1" s="1" t="s">
        <v>35</v>
      </c>
      <c r="CP1" s="1" t="s">
        <v>34</v>
      </c>
      <c r="CQ1" s="1" t="s">
        <v>46</v>
      </c>
      <c r="CR1" s="1" t="s">
        <v>60</v>
      </c>
      <c r="CS1" s="1" t="s">
        <v>61</v>
      </c>
      <c r="CT1" s="1" t="s">
        <v>62</v>
      </c>
      <c r="CU1" s="2" t="s">
        <v>55</v>
      </c>
      <c r="CV1" s="1" t="s">
        <v>41</v>
      </c>
      <c r="CW1" s="1" t="s">
        <v>56</v>
      </c>
      <c r="CX1" s="1" t="s">
        <v>57</v>
      </c>
      <c r="CY1" s="1" t="s">
        <v>58</v>
      </c>
      <c r="CZ1" s="1" t="s">
        <v>59</v>
      </c>
    </row>
    <row r="2" spans="1:104" x14ac:dyDescent="0.35">
      <c r="A2">
        <v>3</v>
      </c>
      <c r="B2">
        <v>21</v>
      </c>
      <c r="C2">
        <v>33</v>
      </c>
      <c r="E2">
        <v>4.3499999999999997E-2</v>
      </c>
      <c r="F2">
        <v>12</v>
      </c>
      <c r="G2">
        <v>4</v>
      </c>
      <c r="H2">
        <v>14</v>
      </c>
      <c r="I2">
        <v>25</v>
      </c>
      <c r="J2">
        <f>SUM(-H2,I2)</f>
        <v>11</v>
      </c>
      <c r="K2">
        <f>I2/H2</f>
        <v>1.7857142857142858</v>
      </c>
      <c r="L2">
        <f>J2/(G2-1)</f>
        <v>3.6666666666666665</v>
      </c>
      <c r="M2" s="3" t="s">
        <v>81</v>
      </c>
      <c r="N2">
        <v>7.1999999999999998E-3</v>
      </c>
      <c r="O2">
        <v>8</v>
      </c>
      <c r="P2">
        <v>13</v>
      </c>
      <c r="Q2">
        <v>1</v>
      </c>
      <c r="R2">
        <v>14</v>
      </c>
      <c r="S2">
        <v>14</v>
      </c>
      <c r="T2">
        <f>SUM(S2,-R2)</f>
        <v>0</v>
      </c>
      <c r="U2">
        <f>S2/R2</f>
        <v>1</v>
      </c>
      <c r="V2" t="e">
        <f>T2/(Q2-1)</f>
        <v>#DIV/0!</v>
      </c>
      <c r="W2">
        <v>64</v>
      </c>
      <c r="X2">
        <v>64</v>
      </c>
      <c r="Y2" s="3" t="s">
        <v>82</v>
      </c>
      <c r="Z2">
        <v>2.46E-2</v>
      </c>
      <c r="AA2">
        <v>8</v>
      </c>
      <c r="AB2">
        <v>13</v>
      </c>
      <c r="AC2">
        <v>1</v>
      </c>
      <c r="AD2">
        <v>14</v>
      </c>
      <c r="AE2">
        <v>14</v>
      </c>
      <c r="AF2">
        <f>SUM(AE2,-AD2)</f>
        <v>0</v>
      </c>
      <c r="AG2">
        <f>AE2/AD2</f>
        <v>1</v>
      </c>
      <c r="AH2" t="e">
        <f>AF2/(AC2-1)</f>
        <v>#DIV/0!</v>
      </c>
      <c r="AI2">
        <v>197</v>
      </c>
      <c r="AJ2">
        <v>197</v>
      </c>
      <c r="AK2" s="3" t="s">
        <v>83</v>
      </c>
      <c r="AL2">
        <f>0.0206+0.0143</f>
        <v>3.49E-2</v>
      </c>
      <c r="AM2">
        <v>8</v>
      </c>
      <c r="AN2">
        <v>13</v>
      </c>
      <c r="AO2">
        <v>17</v>
      </c>
      <c r="AP2">
        <f>AO2/AN2</f>
        <v>1.3076923076923077</v>
      </c>
      <c r="AQ2">
        <v>1</v>
      </c>
      <c r="AR2">
        <v>14</v>
      </c>
      <c r="AS2">
        <v>14</v>
      </c>
      <c r="AT2">
        <f>SUM(AS2,-AR2)</f>
        <v>0</v>
      </c>
      <c r="AU2">
        <f>AS2/AR2</f>
        <v>1</v>
      </c>
      <c r="AV2" t="e">
        <f>AT2/(AQ2-1)</f>
        <v>#DIV/0!</v>
      </c>
      <c r="AW2">
        <v>197</v>
      </c>
      <c r="AX2">
        <v>197</v>
      </c>
      <c r="AY2" s="3" t="s">
        <v>86</v>
      </c>
      <c r="AZ2">
        <f>0.0219+0.02</f>
        <v>4.19E-2</v>
      </c>
      <c r="BA2">
        <v>8</v>
      </c>
      <c r="BB2">
        <v>16</v>
      </c>
      <c r="BC2">
        <f>BB2/BA2</f>
        <v>2</v>
      </c>
      <c r="BD2">
        <v>13</v>
      </c>
      <c r="BE2">
        <v>1</v>
      </c>
      <c r="BF2">
        <v>14</v>
      </c>
      <c r="BG2">
        <v>14</v>
      </c>
      <c r="BH2">
        <f>BG2-BF2</f>
        <v>0</v>
      </c>
      <c r="BI2">
        <f>BG2/BF2</f>
        <v>1</v>
      </c>
      <c r="BJ2" t="e">
        <f>BH2/(BE2-1)</f>
        <v>#DIV/0!</v>
      </c>
      <c r="BK2">
        <v>198</v>
      </c>
      <c r="BL2">
        <v>198</v>
      </c>
      <c r="BN2" s="3" t="s">
        <v>88</v>
      </c>
      <c r="BO2">
        <f t="shared" ref="BO2:BO16" si="0">P2-F2</f>
        <v>1</v>
      </c>
      <c r="BP2">
        <f>P2/F2</f>
        <v>1.0833333333333333</v>
      </c>
      <c r="BQ2">
        <f>AB2-F2</f>
        <v>1</v>
      </c>
      <c r="BR2">
        <f>AB2/F2</f>
        <v>1.0833333333333333</v>
      </c>
      <c r="BS2">
        <f>AN2-F2</f>
        <v>1</v>
      </c>
      <c r="BT2">
        <f>AN2/F2</f>
        <v>1.0833333333333333</v>
      </c>
      <c r="BU2" s="3" t="s">
        <v>91</v>
      </c>
      <c r="BV2">
        <f>Z2/N2</f>
        <v>3.416666666666667</v>
      </c>
      <c r="BW2">
        <f t="shared" ref="BW2:BW16" si="1">AA2-O2</f>
        <v>0</v>
      </c>
      <c r="BX2">
        <f t="shared" ref="BX2:BX16" si="2">AA2/O2</f>
        <v>1</v>
      </c>
      <c r="BY2">
        <f>P2-AB2</f>
        <v>0</v>
      </c>
      <c r="BZ2">
        <f>P2/AB2</f>
        <v>1</v>
      </c>
      <c r="CA2">
        <f>AC2-Q2</f>
        <v>0</v>
      </c>
      <c r="CB2" s="3" t="s">
        <v>70</v>
      </c>
      <c r="CC2">
        <f t="shared" ref="CC2:CC16" si="3">N2/AL2</f>
        <v>0.20630372492836677</v>
      </c>
      <c r="CD2">
        <f t="shared" ref="CD2:CD16" si="4">P2-AN2</f>
        <v>0</v>
      </c>
      <c r="CE2">
        <f t="shared" ref="CE2:CE16" si="5">P2/AN2</f>
        <v>1</v>
      </c>
      <c r="CF2">
        <f>O2-AM2</f>
        <v>0</v>
      </c>
      <c r="CG2">
        <f>BP2-BT2</f>
        <v>0</v>
      </c>
      <c r="CH2" s="3" t="s">
        <v>72</v>
      </c>
      <c r="CI2">
        <f>AL2/Z2</f>
        <v>1.4186991869918699</v>
      </c>
      <c r="CJ2">
        <f>AN2-AB2</f>
        <v>0</v>
      </c>
      <c r="CK2">
        <f>AN2/AB2</f>
        <v>1</v>
      </c>
      <c r="CL2">
        <f>BT2-BR2</f>
        <v>0</v>
      </c>
      <c r="CM2" s="3" t="s">
        <v>70</v>
      </c>
      <c r="CN2">
        <f>N2/AZ2</f>
        <v>0.17183770883054891</v>
      </c>
      <c r="CO2">
        <f>P2-BD2</f>
        <v>0</v>
      </c>
      <c r="CP2">
        <f>P2/BD2</f>
        <v>1</v>
      </c>
      <c r="CQ2">
        <f>BD2/P2</f>
        <v>1</v>
      </c>
      <c r="CR2">
        <f>BA2-O2</f>
        <v>0</v>
      </c>
      <c r="CS2">
        <f>O2/BA2</f>
        <v>1</v>
      </c>
      <c r="CT2">
        <f>BA2/O2</f>
        <v>1</v>
      </c>
      <c r="CU2" s="3" t="s">
        <v>72</v>
      </c>
      <c r="CV2">
        <f>Z2/AZ2</f>
        <v>0.58711217183770881</v>
      </c>
      <c r="CW2">
        <f>AB2-BD2</f>
        <v>0</v>
      </c>
      <c r="CX2">
        <f>AA2-BA2</f>
        <v>0</v>
      </c>
      <c r="CY2">
        <f>AA2/BA2</f>
        <v>1</v>
      </c>
      <c r="CZ2">
        <f>BA2/AA2</f>
        <v>1</v>
      </c>
    </row>
    <row r="3" spans="1:104" x14ac:dyDescent="0.35">
      <c r="A3">
        <v>3</v>
      </c>
      <c r="B3">
        <v>20</v>
      </c>
      <c r="C3">
        <v>30</v>
      </c>
      <c r="E3">
        <v>2.1100000000000001E-2</v>
      </c>
      <c r="F3">
        <v>12</v>
      </c>
      <c r="G3">
        <v>3</v>
      </c>
      <c r="H3">
        <v>15</v>
      </c>
      <c r="I3">
        <v>18</v>
      </c>
      <c r="J3">
        <f t="shared" ref="J3:J16" si="6">SUM(-H3,I3)</f>
        <v>3</v>
      </c>
      <c r="K3">
        <f t="shared" ref="K3:K16" si="7">I3/H3</f>
        <v>1.2</v>
      </c>
      <c r="L3">
        <f t="shared" ref="L3:L16" si="8">J3/(G3-1)</f>
        <v>1.5</v>
      </c>
      <c r="N3">
        <v>1.7100000000000001E-2</v>
      </c>
      <c r="O3">
        <v>3</v>
      </c>
      <c r="P3">
        <v>12</v>
      </c>
      <c r="Q3">
        <v>1</v>
      </c>
      <c r="R3">
        <v>15</v>
      </c>
      <c r="S3">
        <v>15</v>
      </c>
      <c r="T3">
        <f t="shared" ref="T3:T16" si="9">SUM(S3,-R3)</f>
        <v>0</v>
      </c>
      <c r="U3">
        <f t="shared" ref="U3:U16" si="10">S3/R3</f>
        <v>1</v>
      </c>
      <c r="V3" t="e">
        <f t="shared" ref="V3:V16" si="11">T3/(Q3-1)</f>
        <v>#DIV/0!</v>
      </c>
      <c r="W3">
        <v>65</v>
      </c>
      <c r="X3">
        <v>65</v>
      </c>
      <c r="Z3">
        <v>1.3899999999999999E-2</v>
      </c>
      <c r="AA3">
        <v>9</v>
      </c>
      <c r="AB3">
        <v>12</v>
      </c>
      <c r="AC3">
        <v>1</v>
      </c>
      <c r="AD3">
        <v>15</v>
      </c>
      <c r="AE3">
        <v>15</v>
      </c>
      <c r="AF3">
        <f t="shared" ref="AF3:AF16" si="12">SUM(AE3,-AD3)</f>
        <v>0</v>
      </c>
      <c r="AG3">
        <f t="shared" ref="AG3:AG16" si="13">AE3/AD3</f>
        <v>1</v>
      </c>
      <c r="AH3" t="e">
        <f t="shared" ref="AH3:AH16" si="14">AF3/(AC3-1)</f>
        <v>#DIV/0!</v>
      </c>
      <c r="AI3">
        <v>195</v>
      </c>
      <c r="AJ3">
        <v>195</v>
      </c>
      <c r="AK3" s="3" t="s">
        <v>84</v>
      </c>
      <c r="AL3">
        <f>0.0126+0.0123</f>
        <v>2.4899999999999999E-2</v>
      </c>
      <c r="AM3">
        <v>3</v>
      </c>
      <c r="AN3">
        <v>12</v>
      </c>
      <c r="AO3">
        <v>12</v>
      </c>
      <c r="AP3">
        <f t="shared" ref="AP3:AP16" si="15">AO3/AN3</f>
        <v>1</v>
      </c>
      <c r="AQ3">
        <v>1</v>
      </c>
      <c r="AR3">
        <v>15</v>
      </c>
      <c r="AS3">
        <v>15</v>
      </c>
      <c r="AT3">
        <f t="shared" ref="AT3:AT16" si="16">SUM(AS3,-AR3)</f>
        <v>0</v>
      </c>
      <c r="AU3">
        <f t="shared" ref="AU3:AU16" si="17">AS3/AR3</f>
        <v>1</v>
      </c>
      <c r="AV3" t="e">
        <f t="shared" ref="AV3:AV16" si="18">AT3/(AQ3-1)</f>
        <v>#DIV/0!</v>
      </c>
      <c r="AW3">
        <v>195</v>
      </c>
      <c r="AX3">
        <v>195</v>
      </c>
      <c r="AY3" s="3" t="s">
        <v>84</v>
      </c>
      <c r="AZ3">
        <f>0.0191+0.0239</f>
        <v>4.2999999999999997E-2</v>
      </c>
      <c r="BA3">
        <v>3</v>
      </c>
      <c r="BB3">
        <v>16</v>
      </c>
      <c r="BC3">
        <f t="shared" ref="BC3:BC16" si="19">BB3/BA3</f>
        <v>5.333333333333333</v>
      </c>
      <c r="BD3">
        <v>12</v>
      </c>
      <c r="BE3">
        <v>1</v>
      </c>
      <c r="BF3">
        <v>15</v>
      </c>
      <c r="BG3">
        <v>15</v>
      </c>
      <c r="BH3">
        <f t="shared" ref="BH3:BH16" si="20">BG3-BF3</f>
        <v>0</v>
      </c>
      <c r="BI3">
        <f t="shared" ref="BI3:BI15" si="21">BG3/BF3</f>
        <v>1</v>
      </c>
      <c r="BJ3" t="e">
        <f t="shared" ref="BJ3:BJ16" si="22">BH3/(BE3-1)</f>
        <v>#DIV/0!</v>
      </c>
      <c r="BK3">
        <v>196</v>
      </c>
      <c r="BL3">
        <v>196</v>
      </c>
      <c r="BN3" s="3" t="s">
        <v>89</v>
      </c>
      <c r="BO3">
        <f t="shared" si="0"/>
        <v>0</v>
      </c>
      <c r="BP3">
        <f t="shared" ref="BP3:BP16" si="23">P3/F3</f>
        <v>1</v>
      </c>
      <c r="BQ3">
        <f t="shared" ref="BQ3:BQ16" si="24">AB3-F3</f>
        <v>0</v>
      </c>
      <c r="BR3">
        <f t="shared" ref="BR3:BR16" si="25">AB3/F3</f>
        <v>1</v>
      </c>
      <c r="BS3">
        <f t="shared" ref="BS3:BS16" si="26">AN3-F3</f>
        <v>0</v>
      </c>
      <c r="BT3">
        <f t="shared" ref="BT3:BT16" si="27">AN3/F3</f>
        <v>1</v>
      </c>
      <c r="BV3">
        <f t="shared" ref="BV3:BV15" si="28">Z3/N3</f>
        <v>0.81286549707602329</v>
      </c>
      <c r="BW3">
        <f t="shared" si="1"/>
        <v>6</v>
      </c>
      <c r="BX3">
        <f t="shared" si="2"/>
        <v>3</v>
      </c>
      <c r="BY3">
        <f t="shared" ref="BY3:BY16" si="29">P3-AB3</f>
        <v>0</v>
      </c>
      <c r="BZ3">
        <f t="shared" ref="BZ3:BZ16" si="30">P3/AB3</f>
        <v>1</v>
      </c>
      <c r="CA3">
        <f t="shared" ref="CA3:CA16" si="31">AC3-Q3</f>
        <v>0</v>
      </c>
      <c r="CB3" s="3" t="s">
        <v>71</v>
      </c>
      <c r="CC3">
        <f t="shared" si="3"/>
        <v>0.68674698795180733</v>
      </c>
      <c r="CD3">
        <f t="shared" si="4"/>
        <v>0</v>
      </c>
      <c r="CE3">
        <f t="shared" si="5"/>
        <v>1</v>
      </c>
      <c r="CF3">
        <f t="shared" ref="CF3:CF16" si="32">O3-AM3</f>
        <v>0</v>
      </c>
      <c r="CG3">
        <f t="shared" ref="CG3:CG16" si="33">BP3-BT3</f>
        <v>0</v>
      </c>
      <c r="CH3" s="3" t="s">
        <v>71</v>
      </c>
      <c r="CI3">
        <f t="shared" ref="CI3:CI16" si="34">AL3/Z3</f>
        <v>1.7913669064748201</v>
      </c>
      <c r="CJ3">
        <f t="shared" ref="CJ3:CJ16" si="35">AN3-AB3</f>
        <v>0</v>
      </c>
      <c r="CK3">
        <f t="shared" ref="CK3:CK16" si="36">AN3/AB3</f>
        <v>1</v>
      </c>
      <c r="CL3">
        <f t="shared" ref="CL3:CL16" si="37">BT3-BR3</f>
        <v>0</v>
      </c>
      <c r="CM3" s="3" t="s">
        <v>73</v>
      </c>
      <c r="CN3">
        <f t="shared" ref="CN3:CN16" si="38">N3/AZ3</f>
        <v>0.39767441860465119</v>
      </c>
      <c r="CO3">
        <f t="shared" ref="CO3:CO16" si="39">P3-BD3</f>
        <v>0</v>
      </c>
      <c r="CP3">
        <f t="shared" ref="CP3:CP16" si="40">P3/BD3</f>
        <v>1</v>
      </c>
      <c r="CQ3">
        <f t="shared" ref="CQ3:CQ16" si="41">BD3/P3</f>
        <v>1</v>
      </c>
      <c r="CR3">
        <f t="shared" ref="CR3:CR16" si="42">BA3-O3</f>
        <v>0</v>
      </c>
      <c r="CS3">
        <f t="shared" ref="CS3:CS16" si="43">O3/BA3</f>
        <v>1</v>
      </c>
      <c r="CT3">
        <f t="shared" ref="CT3:CT16" si="44">BA3/O3</f>
        <v>1</v>
      </c>
      <c r="CU3" s="3" t="s">
        <v>73</v>
      </c>
      <c r="CV3">
        <f t="shared" ref="CV3:CV16" si="45">Z3/AZ3</f>
        <v>0.3232558139534884</v>
      </c>
      <c r="CW3">
        <f t="shared" ref="CW3:CW16" si="46">AB3-BD3</f>
        <v>0</v>
      </c>
      <c r="CX3">
        <f t="shared" ref="CX3:CX16" si="47">AA3-BA3</f>
        <v>6</v>
      </c>
      <c r="CY3">
        <f t="shared" ref="CY3:CY16" si="48">AA3/BA3</f>
        <v>3</v>
      </c>
      <c r="CZ3">
        <f t="shared" ref="CZ3:CZ16" si="49">BA3/AA3</f>
        <v>0.33333333333333331</v>
      </c>
    </row>
    <row r="4" spans="1:104" s="4" customFormat="1" x14ac:dyDescent="0.35">
      <c r="A4" s="4">
        <v>3</v>
      </c>
      <c r="B4" s="4">
        <v>18</v>
      </c>
      <c r="C4" s="4">
        <v>34</v>
      </c>
      <c r="D4" s="5"/>
      <c r="E4" s="4">
        <v>3.2300000000000002E-2</v>
      </c>
      <c r="F4" s="4">
        <v>14</v>
      </c>
      <c r="G4" s="4">
        <v>4</v>
      </c>
      <c r="H4" s="4">
        <v>17</v>
      </c>
      <c r="I4" s="4">
        <v>23</v>
      </c>
      <c r="J4" s="4">
        <f t="shared" si="6"/>
        <v>6</v>
      </c>
      <c r="K4" s="4">
        <f t="shared" si="7"/>
        <v>1.3529411764705883</v>
      </c>
      <c r="L4" s="4">
        <f t="shared" si="8"/>
        <v>2</v>
      </c>
      <c r="M4" s="5"/>
      <c r="N4" s="4">
        <v>1.67E-2</v>
      </c>
      <c r="O4" s="4">
        <v>7</v>
      </c>
      <c r="P4" s="4">
        <v>18</v>
      </c>
      <c r="Q4" s="4">
        <v>1</v>
      </c>
      <c r="R4" s="4">
        <v>17</v>
      </c>
      <c r="S4" s="4">
        <v>17</v>
      </c>
      <c r="T4" s="4">
        <f t="shared" si="9"/>
        <v>0</v>
      </c>
      <c r="U4" s="4">
        <f t="shared" si="10"/>
        <v>1</v>
      </c>
      <c r="V4" s="4" t="e">
        <f t="shared" si="11"/>
        <v>#DIV/0!</v>
      </c>
      <c r="W4" s="4">
        <v>69</v>
      </c>
      <c r="X4" s="4">
        <v>69</v>
      </c>
      <c r="Y4" s="5"/>
      <c r="Z4" s="4">
        <v>2.5399999999999999E-2</v>
      </c>
      <c r="AA4" s="4">
        <v>9</v>
      </c>
      <c r="AB4" s="4">
        <v>14</v>
      </c>
      <c r="AC4" s="4">
        <v>1</v>
      </c>
      <c r="AD4" s="4">
        <v>17</v>
      </c>
      <c r="AE4" s="4">
        <v>17</v>
      </c>
      <c r="AF4" s="4">
        <f t="shared" si="12"/>
        <v>0</v>
      </c>
      <c r="AG4" s="4">
        <f t="shared" si="13"/>
        <v>1</v>
      </c>
      <c r="AH4" s="4" t="e">
        <f t="shared" si="14"/>
        <v>#DIV/0!</v>
      </c>
      <c r="AI4" s="4">
        <v>207</v>
      </c>
      <c r="AJ4" s="4">
        <v>207</v>
      </c>
      <c r="AK4" s="5" t="s">
        <v>85</v>
      </c>
      <c r="AL4" s="4">
        <f>0.021+0.019</f>
        <v>0.04</v>
      </c>
      <c r="AM4" s="4">
        <v>7</v>
      </c>
      <c r="AN4" s="4">
        <v>18</v>
      </c>
      <c r="AO4" s="4">
        <v>18</v>
      </c>
      <c r="AP4" s="4">
        <f t="shared" si="15"/>
        <v>1</v>
      </c>
      <c r="AQ4" s="4">
        <v>1</v>
      </c>
      <c r="AR4" s="4">
        <v>17</v>
      </c>
      <c r="AS4" s="4">
        <v>17</v>
      </c>
      <c r="AT4" s="4">
        <f t="shared" si="16"/>
        <v>0</v>
      </c>
      <c r="AU4" s="4">
        <f t="shared" si="17"/>
        <v>1</v>
      </c>
      <c r="AV4" s="4" t="e">
        <f t="shared" si="18"/>
        <v>#DIV/0!</v>
      </c>
      <c r="AW4" s="4">
        <v>207</v>
      </c>
      <c r="AX4" s="4">
        <v>207</v>
      </c>
      <c r="AY4" s="5" t="s">
        <v>87</v>
      </c>
      <c r="AZ4" s="4">
        <f>0.011+0.0141</f>
        <v>2.5099999999999997E-2</v>
      </c>
      <c r="BA4" s="4">
        <v>9</v>
      </c>
      <c r="BB4" s="4">
        <v>15</v>
      </c>
      <c r="BC4" s="4">
        <f t="shared" si="19"/>
        <v>1.6666666666666667</v>
      </c>
      <c r="BD4" s="4">
        <v>14</v>
      </c>
      <c r="BE4" s="4">
        <v>1</v>
      </c>
      <c r="BF4" s="4">
        <v>17</v>
      </c>
      <c r="BG4" s="4">
        <v>17</v>
      </c>
      <c r="BH4" s="4">
        <f t="shared" si="20"/>
        <v>0</v>
      </c>
      <c r="BI4" s="4">
        <f t="shared" si="21"/>
        <v>1</v>
      </c>
      <c r="BJ4" s="4" t="e">
        <f t="shared" si="22"/>
        <v>#DIV/0!</v>
      </c>
      <c r="BK4" s="4">
        <v>208</v>
      </c>
      <c r="BL4" s="4">
        <v>208</v>
      </c>
      <c r="BM4" s="5"/>
      <c r="BN4" s="5"/>
      <c r="BO4" s="4">
        <f t="shared" si="0"/>
        <v>4</v>
      </c>
      <c r="BP4" s="4">
        <f t="shared" si="23"/>
        <v>1.2857142857142858</v>
      </c>
      <c r="BQ4" s="4">
        <f t="shared" si="24"/>
        <v>0</v>
      </c>
      <c r="BR4" s="4">
        <f t="shared" si="25"/>
        <v>1</v>
      </c>
      <c r="BS4" s="4">
        <f t="shared" si="26"/>
        <v>4</v>
      </c>
      <c r="BT4" s="4">
        <f t="shared" si="27"/>
        <v>1.2857142857142858</v>
      </c>
      <c r="BU4" s="5"/>
      <c r="BV4" s="4">
        <f t="shared" si="28"/>
        <v>1.5209580838323353</v>
      </c>
      <c r="BW4" s="4">
        <f t="shared" si="1"/>
        <v>2</v>
      </c>
      <c r="BX4" s="4">
        <f t="shared" si="2"/>
        <v>1.2857142857142858</v>
      </c>
      <c r="BY4" s="4">
        <f t="shared" si="29"/>
        <v>4</v>
      </c>
      <c r="BZ4" s="4">
        <f t="shared" si="30"/>
        <v>1.2857142857142858</v>
      </c>
      <c r="CA4" s="4">
        <f t="shared" si="31"/>
        <v>0</v>
      </c>
      <c r="CB4" s="5"/>
      <c r="CC4" s="4">
        <f t="shared" si="3"/>
        <v>0.41749999999999998</v>
      </c>
      <c r="CD4" s="4">
        <f t="shared" si="4"/>
        <v>0</v>
      </c>
      <c r="CE4" s="4">
        <f t="shared" si="5"/>
        <v>1</v>
      </c>
      <c r="CF4" s="4">
        <f t="shared" si="32"/>
        <v>0</v>
      </c>
      <c r="CG4" s="4">
        <f t="shared" si="33"/>
        <v>0</v>
      </c>
      <c r="CH4" s="5"/>
      <c r="CI4" s="4">
        <f t="shared" si="34"/>
        <v>1.5748031496062993</v>
      </c>
      <c r="CJ4" s="4">
        <f t="shared" si="35"/>
        <v>4</v>
      </c>
      <c r="CK4" s="4">
        <f t="shared" si="36"/>
        <v>1.2857142857142858</v>
      </c>
      <c r="CL4" s="4">
        <f t="shared" si="37"/>
        <v>0.28571428571428581</v>
      </c>
      <c r="CM4" s="5"/>
      <c r="CN4" s="4">
        <f t="shared" si="38"/>
        <v>0.66533864541832677</v>
      </c>
      <c r="CO4" s="4">
        <f t="shared" si="39"/>
        <v>4</v>
      </c>
      <c r="CP4" s="4">
        <f t="shared" si="40"/>
        <v>1.2857142857142858</v>
      </c>
      <c r="CQ4" s="4">
        <f t="shared" si="41"/>
        <v>0.77777777777777779</v>
      </c>
      <c r="CR4" s="4">
        <f t="shared" si="42"/>
        <v>2</v>
      </c>
      <c r="CS4" s="4">
        <f t="shared" si="43"/>
        <v>0.77777777777777779</v>
      </c>
      <c r="CT4" s="4">
        <f t="shared" si="44"/>
        <v>1.2857142857142858</v>
      </c>
      <c r="CU4" s="5"/>
      <c r="CV4" s="4">
        <f t="shared" si="45"/>
        <v>1.0119521912350598</v>
      </c>
      <c r="CW4" s="4">
        <f t="shared" si="46"/>
        <v>0</v>
      </c>
      <c r="CX4" s="4">
        <f t="shared" si="47"/>
        <v>0</v>
      </c>
      <c r="CY4" s="4">
        <f t="shared" si="48"/>
        <v>1</v>
      </c>
      <c r="CZ4" s="4">
        <f t="shared" si="49"/>
        <v>1</v>
      </c>
    </row>
    <row r="5" spans="1:104" x14ac:dyDescent="0.35">
      <c r="A5">
        <v>4</v>
      </c>
      <c r="B5">
        <v>42</v>
      </c>
      <c r="C5">
        <v>105</v>
      </c>
      <c r="E5">
        <v>0.10009999999999999</v>
      </c>
      <c r="F5">
        <v>27</v>
      </c>
      <c r="G5">
        <v>3</v>
      </c>
      <c r="H5">
        <v>45</v>
      </c>
      <c r="I5">
        <v>69</v>
      </c>
      <c r="J5">
        <f t="shared" si="6"/>
        <v>24</v>
      </c>
      <c r="K5">
        <f t="shared" si="7"/>
        <v>1.5333333333333334</v>
      </c>
      <c r="L5">
        <f t="shared" si="8"/>
        <v>12</v>
      </c>
      <c r="N5">
        <v>6.1100000000000002E-2</v>
      </c>
      <c r="O5">
        <v>13</v>
      </c>
      <c r="P5">
        <v>33</v>
      </c>
      <c r="Q5">
        <v>2</v>
      </c>
      <c r="R5">
        <v>45</v>
      </c>
      <c r="S5">
        <v>47</v>
      </c>
      <c r="T5">
        <f t="shared" si="9"/>
        <v>2</v>
      </c>
      <c r="U5">
        <f t="shared" si="10"/>
        <v>1.0444444444444445</v>
      </c>
      <c r="V5">
        <f t="shared" si="11"/>
        <v>2</v>
      </c>
      <c r="W5">
        <v>201</v>
      </c>
      <c r="X5">
        <v>203</v>
      </c>
      <c r="Z5">
        <v>0.1022</v>
      </c>
      <c r="AA5">
        <v>17</v>
      </c>
      <c r="AB5">
        <v>31</v>
      </c>
      <c r="AC5">
        <v>2</v>
      </c>
      <c r="AD5">
        <v>45</v>
      </c>
      <c r="AE5">
        <v>47</v>
      </c>
      <c r="AF5">
        <f t="shared" si="12"/>
        <v>2</v>
      </c>
      <c r="AG5">
        <f t="shared" si="13"/>
        <v>1.0444444444444445</v>
      </c>
      <c r="AH5">
        <f t="shared" si="14"/>
        <v>2</v>
      </c>
      <c r="AI5">
        <v>618</v>
      </c>
      <c r="AJ5">
        <v>620</v>
      </c>
      <c r="AL5">
        <f>0.0678+0.0607</f>
        <v>0.1285</v>
      </c>
      <c r="AM5">
        <v>13</v>
      </c>
      <c r="AN5">
        <v>31</v>
      </c>
      <c r="AO5">
        <v>58</v>
      </c>
      <c r="AP5">
        <f t="shared" si="15"/>
        <v>1.8709677419354838</v>
      </c>
      <c r="AQ5">
        <v>1</v>
      </c>
      <c r="AR5">
        <v>45</v>
      </c>
      <c r="AS5">
        <v>45</v>
      </c>
      <c r="AT5">
        <f t="shared" si="16"/>
        <v>0</v>
      </c>
      <c r="AU5">
        <f t="shared" si="17"/>
        <v>1</v>
      </c>
      <c r="AV5" t="e">
        <f t="shared" si="18"/>
        <v>#DIV/0!</v>
      </c>
      <c r="AW5">
        <v>618</v>
      </c>
      <c r="AX5">
        <v>618</v>
      </c>
      <c r="AZ5">
        <f>0.0632+0.1055</f>
        <v>0.16870000000000002</v>
      </c>
      <c r="BA5">
        <v>13</v>
      </c>
      <c r="BB5">
        <v>34</v>
      </c>
      <c r="BC5">
        <f t="shared" si="19"/>
        <v>2.6153846153846154</v>
      </c>
      <c r="BD5">
        <v>31</v>
      </c>
      <c r="BE5">
        <v>1</v>
      </c>
      <c r="BF5">
        <v>45</v>
      </c>
      <c r="BG5">
        <v>45</v>
      </c>
      <c r="BH5">
        <f t="shared" si="20"/>
        <v>0</v>
      </c>
      <c r="BI5">
        <f t="shared" si="21"/>
        <v>1</v>
      </c>
      <c r="BJ5" t="e">
        <f t="shared" si="22"/>
        <v>#DIV/0!</v>
      </c>
      <c r="BK5">
        <v>619</v>
      </c>
      <c r="BL5">
        <v>619</v>
      </c>
      <c r="BO5">
        <f t="shared" si="0"/>
        <v>6</v>
      </c>
      <c r="BP5">
        <f t="shared" si="23"/>
        <v>1.2222222222222223</v>
      </c>
      <c r="BQ5">
        <f t="shared" si="24"/>
        <v>4</v>
      </c>
      <c r="BR5">
        <f t="shared" si="25"/>
        <v>1.1481481481481481</v>
      </c>
      <c r="BS5">
        <f t="shared" si="26"/>
        <v>4</v>
      </c>
      <c r="BT5">
        <f t="shared" si="27"/>
        <v>1.1481481481481481</v>
      </c>
      <c r="BV5">
        <f t="shared" si="28"/>
        <v>1.6726677577741407</v>
      </c>
      <c r="BW5">
        <f t="shared" si="1"/>
        <v>4</v>
      </c>
      <c r="BX5">
        <f t="shared" si="2"/>
        <v>1.3076923076923077</v>
      </c>
      <c r="BY5">
        <f t="shared" si="29"/>
        <v>2</v>
      </c>
      <c r="BZ5">
        <f t="shared" si="30"/>
        <v>1.064516129032258</v>
      </c>
      <c r="CA5">
        <f t="shared" si="31"/>
        <v>0</v>
      </c>
      <c r="CC5">
        <f t="shared" si="3"/>
        <v>0.47548638132295717</v>
      </c>
      <c r="CD5">
        <f t="shared" si="4"/>
        <v>2</v>
      </c>
      <c r="CE5">
        <f t="shared" si="5"/>
        <v>1.064516129032258</v>
      </c>
      <c r="CF5">
        <f t="shared" si="32"/>
        <v>0</v>
      </c>
      <c r="CG5">
        <f t="shared" si="33"/>
        <v>7.4074074074074181E-2</v>
      </c>
      <c r="CI5">
        <f t="shared" si="34"/>
        <v>1.2573385518590998</v>
      </c>
      <c r="CJ5">
        <f t="shared" si="35"/>
        <v>0</v>
      </c>
      <c r="CK5">
        <f t="shared" si="36"/>
        <v>1</v>
      </c>
      <c r="CL5">
        <f t="shared" si="37"/>
        <v>0</v>
      </c>
      <c r="CN5">
        <f t="shared" si="38"/>
        <v>0.36218138707765263</v>
      </c>
      <c r="CO5">
        <f t="shared" si="39"/>
        <v>2</v>
      </c>
      <c r="CP5">
        <f t="shared" si="40"/>
        <v>1.064516129032258</v>
      </c>
      <c r="CQ5">
        <f t="shared" si="41"/>
        <v>0.93939393939393945</v>
      </c>
      <c r="CR5">
        <f t="shared" si="42"/>
        <v>0</v>
      </c>
      <c r="CS5">
        <f t="shared" si="43"/>
        <v>1</v>
      </c>
      <c r="CT5">
        <f t="shared" si="44"/>
        <v>1</v>
      </c>
      <c r="CV5">
        <f t="shared" si="45"/>
        <v>0.60580912863070535</v>
      </c>
      <c r="CW5">
        <f t="shared" si="46"/>
        <v>0</v>
      </c>
      <c r="CX5">
        <f t="shared" si="47"/>
        <v>4</v>
      </c>
      <c r="CY5">
        <f t="shared" si="48"/>
        <v>1.3076923076923077</v>
      </c>
      <c r="CZ5">
        <f t="shared" si="49"/>
        <v>0.76470588235294112</v>
      </c>
    </row>
    <row r="6" spans="1:104" x14ac:dyDescent="0.35">
      <c r="A6">
        <v>4</v>
      </c>
      <c r="B6">
        <v>42</v>
      </c>
      <c r="C6">
        <v>75</v>
      </c>
      <c r="E6">
        <v>4.6899999999999997E-2</v>
      </c>
      <c r="F6">
        <v>25</v>
      </c>
      <c r="G6">
        <v>3</v>
      </c>
      <c r="H6">
        <v>38</v>
      </c>
      <c r="I6">
        <v>57</v>
      </c>
      <c r="J6">
        <f t="shared" si="6"/>
        <v>19</v>
      </c>
      <c r="K6">
        <f t="shared" si="7"/>
        <v>1.5</v>
      </c>
      <c r="L6">
        <f t="shared" si="8"/>
        <v>9.5</v>
      </c>
      <c r="N6">
        <v>3.3399999999999999E-2</v>
      </c>
      <c r="O6">
        <v>12</v>
      </c>
      <c r="P6">
        <v>35</v>
      </c>
      <c r="Q6">
        <v>1</v>
      </c>
      <c r="R6">
        <v>38</v>
      </c>
      <c r="S6">
        <v>38</v>
      </c>
      <c r="T6">
        <f t="shared" si="9"/>
        <v>0</v>
      </c>
      <c r="U6">
        <f t="shared" si="10"/>
        <v>1</v>
      </c>
      <c r="V6" t="e">
        <f t="shared" si="11"/>
        <v>#DIV/0!</v>
      </c>
      <c r="W6">
        <v>152</v>
      </c>
      <c r="X6">
        <v>152</v>
      </c>
      <c r="Z6">
        <v>7.6700000000000004E-2</v>
      </c>
      <c r="AA6">
        <v>16</v>
      </c>
      <c r="AB6">
        <v>25</v>
      </c>
      <c r="AC6">
        <v>2</v>
      </c>
      <c r="AD6">
        <v>38</v>
      </c>
      <c r="AE6">
        <v>39</v>
      </c>
      <c r="AF6">
        <f t="shared" si="12"/>
        <v>1</v>
      </c>
      <c r="AG6">
        <f t="shared" si="13"/>
        <v>1.0263157894736843</v>
      </c>
      <c r="AH6">
        <f t="shared" si="14"/>
        <v>1</v>
      </c>
      <c r="AI6">
        <v>455</v>
      </c>
      <c r="AJ6">
        <v>456</v>
      </c>
      <c r="AL6">
        <f>0.0503+0.033</f>
        <v>8.3299999999999999E-2</v>
      </c>
      <c r="AM6">
        <v>12</v>
      </c>
      <c r="AN6">
        <v>27</v>
      </c>
      <c r="AO6">
        <v>35</v>
      </c>
      <c r="AP6">
        <f t="shared" si="15"/>
        <v>1.2962962962962963</v>
      </c>
      <c r="AQ6">
        <v>1</v>
      </c>
      <c r="AR6">
        <v>38</v>
      </c>
      <c r="AS6">
        <v>38</v>
      </c>
      <c r="AT6">
        <f t="shared" si="16"/>
        <v>0</v>
      </c>
      <c r="AU6">
        <f t="shared" si="17"/>
        <v>1</v>
      </c>
      <c r="AV6" t="e">
        <f t="shared" si="18"/>
        <v>#DIV/0!</v>
      </c>
      <c r="AW6">
        <v>455</v>
      </c>
      <c r="AX6">
        <v>455</v>
      </c>
      <c r="AZ6">
        <f>0.0728+0.0706</f>
        <v>0.1434</v>
      </c>
      <c r="BA6">
        <v>16</v>
      </c>
      <c r="BB6">
        <v>31</v>
      </c>
      <c r="BC6">
        <f t="shared" si="19"/>
        <v>1.9375</v>
      </c>
      <c r="BD6">
        <v>25</v>
      </c>
      <c r="BE6">
        <v>2</v>
      </c>
      <c r="BF6">
        <v>38</v>
      </c>
      <c r="BG6">
        <v>39</v>
      </c>
      <c r="BH6">
        <f t="shared" si="20"/>
        <v>1</v>
      </c>
      <c r="BI6">
        <f t="shared" si="21"/>
        <v>1.0263157894736843</v>
      </c>
      <c r="BJ6">
        <f t="shared" si="22"/>
        <v>1</v>
      </c>
      <c r="BK6">
        <v>456</v>
      </c>
      <c r="BL6">
        <v>457</v>
      </c>
      <c r="BO6">
        <f t="shared" si="0"/>
        <v>10</v>
      </c>
      <c r="BP6">
        <f t="shared" si="23"/>
        <v>1.4</v>
      </c>
      <c r="BQ6">
        <f t="shared" si="24"/>
        <v>0</v>
      </c>
      <c r="BR6">
        <f t="shared" si="25"/>
        <v>1</v>
      </c>
      <c r="BS6">
        <f t="shared" si="26"/>
        <v>2</v>
      </c>
      <c r="BT6">
        <f t="shared" si="27"/>
        <v>1.08</v>
      </c>
      <c r="BV6">
        <f t="shared" si="28"/>
        <v>2.2964071856287429</v>
      </c>
      <c r="BW6">
        <f t="shared" si="1"/>
        <v>4</v>
      </c>
      <c r="BX6">
        <f t="shared" si="2"/>
        <v>1.3333333333333333</v>
      </c>
      <c r="BY6">
        <f t="shared" si="29"/>
        <v>10</v>
      </c>
      <c r="BZ6">
        <f t="shared" si="30"/>
        <v>1.4</v>
      </c>
      <c r="CA6">
        <f t="shared" si="31"/>
        <v>1</v>
      </c>
      <c r="CC6">
        <f t="shared" si="3"/>
        <v>0.40096038415366148</v>
      </c>
      <c r="CD6">
        <f t="shared" si="4"/>
        <v>8</v>
      </c>
      <c r="CE6">
        <f t="shared" si="5"/>
        <v>1.2962962962962963</v>
      </c>
      <c r="CF6">
        <f t="shared" si="32"/>
        <v>0</v>
      </c>
      <c r="CG6">
        <f t="shared" si="33"/>
        <v>0.31999999999999984</v>
      </c>
      <c r="CI6">
        <f t="shared" si="34"/>
        <v>1.0860495436766622</v>
      </c>
      <c r="CJ6">
        <f t="shared" si="35"/>
        <v>2</v>
      </c>
      <c r="CK6">
        <f t="shared" si="36"/>
        <v>1.08</v>
      </c>
      <c r="CL6">
        <f t="shared" si="37"/>
        <v>8.0000000000000071E-2</v>
      </c>
      <c r="CN6">
        <f t="shared" si="38"/>
        <v>0.23291492329149233</v>
      </c>
      <c r="CO6">
        <f t="shared" si="39"/>
        <v>10</v>
      </c>
      <c r="CP6">
        <f t="shared" si="40"/>
        <v>1.4</v>
      </c>
      <c r="CQ6">
        <f t="shared" si="41"/>
        <v>0.7142857142857143</v>
      </c>
      <c r="CR6">
        <f t="shared" si="42"/>
        <v>4</v>
      </c>
      <c r="CS6">
        <f t="shared" si="43"/>
        <v>0.75</v>
      </c>
      <c r="CT6">
        <f t="shared" si="44"/>
        <v>1.3333333333333333</v>
      </c>
      <c r="CV6">
        <f t="shared" si="45"/>
        <v>0.53486750348675038</v>
      </c>
      <c r="CW6">
        <f t="shared" si="46"/>
        <v>0</v>
      </c>
      <c r="CX6">
        <f t="shared" si="47"/>
        <v>0</v>
      </c>
      <c r="CY6">
        <f t="shared" si="48"/>
        <v>1</v>
      </c>
      <c r="CZ6">
        <f t="shared" si="49"/>
        <v>1</v>
      </c>
    </row>
    <row r="7" spans="1:104" s="4" customFormat="1" x14ac:dyDescent="0.35">
      <c r="A7" s="4">
        <v>4</v>
      </c>
      <c r="B7" s="4">
        <v>43</v>
      </c>
      <c r="C7" s="4">
        <v>90</v>
      </c>
      <c r="D7" s="5"/>
      <c r="E7" s="4">
        <v>8.5800000000000001E-2</v>
      </c>
      <c r="F7" s="4">
        <v>30</v>
      </c>
      <c r="G7" s="4">
        <v>5</v>
      </c>
      <c r="H7" s="4">
        <v>41</v>
      </c>
      <c r="I7" s="4">
        <v>84</v>
      </c>
      <c r="J7" s="4">
        <f t="shared" si="6"/>
        <v>43</v>
      </c>
      <c r="K7" s="4">
        <f t="shared" si="7"/>
        <v>2.0487804878048781</v>
      </c>
      <c r="L7" s="4">
        <f t="shared" si="8"/>
        <v>10.75</v>
      </c>
      <c r="M7" s="5"/>
      <c r="N7" s="4">
        <v>5.8999999999999997E-2</v>
      </c>
      <c r="O7" s="4">
        <v>13</v>
      </c>
      <c r="P7" s="4">
        <v>50</v>
      </c>
      <c r="Q7" s="4">
        <v>2</v>
      </c>
      <c r="R7" s="4">
        <v>41</v>
      </c>
      <c r="S7" s="4">
        <v>42</v>
      </c>
      <c r="T7" s="4">
        <f t="shared" si="9"/>
        <v>1</v>
      </c>
      <c r="U7" s="4">
        <f t="shared" si="10"/>
        <v>1.024390243902439</v>
      </c>
      <c r="V7" s="4">
        <f t="shared" si="11"/>
        <v>1</v>
      </c>
      <c r="W7" s="4">
        <v>173</v>
      </c>
      <c r="X7" s="4">
        <v>174</v>
      </c>
      <c r="Y7" s="5"/>
      <c r="Z7" s="4">
        <v>0.19620000000000001</v>
      </c>
      <c r="AA7" s="4">
        <v>19</v>
      </c>
      <c r="AB7" s="4">
        <v>36</v>
      </c>
      <c r="AC7" s="4">
        <v>3</v>
      </c>
      <c r="AD7" s="4">
        <v>41</v>
      </c>
      <c r="AE7" s="4">
        <v>56</v>
      </c>
      <c r="AF7" s="4">
        <f t="shared" si="12"/>
        <v>15</v>
      </c>
      <c r="AG7" s="4">
        <f t="shared" si="13"/>
        <v>1.3658536585365855</v>
      </c>
      <c r="AH7" s="4">
        <f t="shared" si="14"/>
        <v>7.5</v>
      </c>
      <c r="AI7" s="4">
        <v>527</v>
      </c>
      <c r="AJ7" s="4">
        <v>542</v>
      </c>
      <c r="AK7" s="5"/>
      <c r="AL7" s="4">
        <f>0.1514+0.0942</f>
        <v>0.24560000000000001</v>
      </c>
      <c r="AM7" s="4">
        <v>13</v>
      </c>
      <c r="AN7" s="4">
        <v>45</v>
      </c>
      <c r="AO7" s="4">
        <v>50</v>
      </c>
      <c r="AP7" s="4">
        <f t="shared" si="15"/>
        <v>1.1111111111111112</v>
      </c>
      <c r="AQ7" s="4">
        <v>2</v>
      </c>
      <c r="AR7" s="4">
        <v>41</v>
      </c>
      <c r="AS7" s="4">
        <v>42</v>
      </c>
      <c r="AT7" s="4">
        <f t="shared" si="16"/>
        <v>1</v>
      </c>
      <c r="AU7" s="4">
        <f t="shared" si="17"/>
        <v>1.024390243902439</v>
      </c>
      <c r="AV7" s="4">
        <f t="shared" si="18"/>
        <v>1</v>
      </c>
      <c r="AW7" s="4">
        <v>527</v>
      </c>
      <c r="AX7" s="4">
        <v>528</v>
      </c>
      <c r="AY7" s="5"/>
      <c r="AZ7" s="4">
        <f>0.0534+0.1885</f>
        <v>0.2419</v>
      </c>
      <c r="BA7" s="4">
        <v>18</v>
      </c>
      <c r="BB7" s="4">
        <v>31</v>
      </c>
      <c r="BC7" s="4">
        <f t="shared" si="19"/>
        <v>1.7222222222222223</v>
      </c>
      <c r="BD7" s="4">
        <v>36</v>
      </c>
      <c r="BE7" s="4">
        <v>1</v>
      </c>
      <c r="BF7" s="4">
        <v>41</v>
      </c>
      <c r="BG7" s="4">
        <v>41</v>
      </c>
      <c r="BH7" s="4">
        <f t="shared" si="20"/>
        <v>0</v>
      </c>
      <c r="BI7" s="4">
        <f t="shared" si="21"/>
        <v>1</v>
      </c>
      <c r="BJ7" s="4" t="e">
        <f t="shared" si="22"/>
        <v>#DIV/0!</v>
      </c>
      <c r="BK7" s="4">
        <v>528</v>
      </c>
      <c r="BL7" s="4">
        <v>528</v>
      </c>
      <c r="BM7" s="5"/>
      <c r="BN7" s="5"/>
      <c r="BO7" s="4">
        <f t="shared" si="0"/>
        <v>20</v>
      </c>
      <c r="BP7" s="4">
        <f t="shared" si="23"/>
        <v>1.6666666666666667</v>
      </c>
      <c r="BQ7" s="4">
        <f t="shared" si="24"/>
        <v>6</v>
      </c>
      <c r="BR7" s="4">
        <f t="shared" si="25"/>
        <v>1.2</v>
      </c>
      <c r="BS7" s="4">
        <f t="shared" si="26"/>
        <v>15</v>
      </c>
      <c r="BT7" s="4">
        <f t="shared" si="27"/>
        <v>1.5</v>
      </c>
      <c r="BU7" s="5"/>
      <c r="BV7" s="4">
        <f t="shared" si="28"/>
        <v>3.3254237288135595</v>
      </c>
      <c r="BW7" s="4">
        <f t="shared" si="1"/>
        <v>6</v>
      </c>
      <c r="BX7" s="4">
        <f t="shared" si="2"/>
        <v>1.4615384615384615</v>
      </c>
      <c r="BY7" s="4">
        <f t="shared" si="29"/>
        <v>14</v>
      </c>
      <c r="BZ7" s="4">
        <f t="shared" si="30"/>
        <v>1.3888888888888888</v>
      </c>
      <c r="CA7" s="4">
        <f t="shared" si="31"/>
        <v>1</v>
      </c>
      <c r="CB7" s="5"/>
      <c r="CC7" s="4">
        <f t="shared" si="3"/>
        <v>0.24022801302931593</v>
      </c>
      <c r="CD7" s="4">
        <f t="shared" si="4"/>
        <v>5</v>
      </c>
      <c r="CE7" s="4">
        <f t="shared" si="5"/>
        <v>1.1111111111111112</v>
      </c>
      <c r="CF7" s="4">
        <f t="shared" si="32"/>
        <v>0</v>
      </c>
      <c r="CG7" s="4">
        <f t="shared" si="33"/>
        <v>0.16666666666666674</v>
      </c>
      <c r="CH7" s="5"/>
      <c r="CI7" s="4">
        <f t="shared" si="34"/>
        <v>1.2517838939857289</v>
      </c>
      <c r="CJ7" s="4">
        <f t="shared" si="35"/>
        <v>9</v>
      </c>
      <c r="CK7" s="4">
        <f t="shared" si="36"/>
        <v>1.25</v>
      </c>
      <c r="CL7" s="4">
        <f t="shared" si="37"/>
        <v>0.30000000000000004</v>
      </c>
      <c r="CM7" s="5"/>
      <c r="CN7" s="4">
        <f t="shared" si="38"/>
        <v>0.24390243902439024</v>
      </c>
      <c r="CO7" s="4">
        <f t="shared" si="39"/>
        <v>14</v>
      </c>
      <c r="CP7" s="4">
        <f t="shared" si="40"/>
        <v>1.3888888888888888</v>
      </c>
      <c r="CQ7" s="4">
        <f t="shared" si="41"/>
        <v>0.72</v>
      </c>
      <c r="CR7" s="4">
        <f t="shared" si="42"/>
        <v>5</v>
      </c>
      <c r="CS7" s="4">
        <f t="shared" si="43"/>
        <v>0.72222222222222221</v>
      </c>
      <c r="CT7" s="4">
        <f t="shared" si="44"/>
        <v>1.3846153846153846</v>
      </c>
      <c r="CU7" s="5"/>
      <c r="CV7" s="4">
        <f t="shared" si="45"/>
        <v>0.81107895824720966</v>
      </c>
      <c r="CW7" s="4">
        <f t="shared" si="46"/>
        <v>0</v>
      </c>
      <c r="CX7" s="4">
        <f t="shared" si="47"/>
        <v>1</v>
      </c>
      <c r="CY7" s="4">
        <f t="shared" si="48"/>
        <v>1.0555555555555556</v>
      </c>
      <c r="CZ7" s="4">
        <f t="shared" si="49"/>
        <v>0.94736842105263153</v>
      </c>
    </row>
    <row r="8" spans="1:104" x14ac:dyDescent="0.35">
      <c r="A8">
        <v>5</v>
      </c>
      <c r="B8">
        <v>83</v>
      </c>
      <c r="C8">
        <v>222</v>
      </c>
      <c r="E8">
        <v>0.31480000000000002</v>
      </c>
      <c r="F8">
        <v>77</v>
      </c>
      <c r="G8">
        <v>4</v>
      </c>
      <c r="H8">
        <v>118</v>
      </c>
      <c r="I8">
        <v>238</v>
      </c>
      <c r="J8">
        <f t="shared" si="6"/>
        <v>120</v>
      </c>
      <c r="K8">
        <f t="shared" si="7"/>
        <v>2.0169491525423728</v>
      </c>
      <c r="L8">
        <f t="shared" si="8"/>
        <v>40</v>
      </c>
      <c r="N8">
        <v>0.23369999999999999</v>
      </c>
      <c r="O8">
        <v>22</v>
      </c>
      <c r="P8">
        <v>106</v>
      </c>
      <c r="Q8">
        <v>3</v>
      </c>
      <c r="R8">
        <v>118</v>
      </c>
      <c r="S8">
        <v>140</v>
      </c>
      <c r="T8">
        <f t="shared" si="9"/>
        <v>22</v>
      </c>
      <c r="U8">
        <f t="shared" si="10"/>
        <v>1.1864406779661016</v>
      </c>
      <c r="V8">
        <f t="shared" si="11"/>
        <v>11</v>
      </c>
      <c r="W8">
        <v>440</v>
      </c>
      <c r="X8">
        <v>462</v>
      </c>
      <c r="Z8">
        <v>0.44390000000000002</v>
      </c>
      <c r="AA8">
        <v>41</v>
      </c>
      <c r="AB8">
        <v>89</v>
      </c>
      <c r="AC8">
        <v>3</v>
      </c>
      <c r="AD8">
        <v>118</v>
      </c>
      <c r="AE8">
        <v>168</v>
      </c>
      <c r="AF8">
        <f t="shared" si="12"/>
        <v>50</v>
      </c>
      <c r="AG8">
        <f t="shared" si="13"/>
        <v>1.423728813559322</v>
      </c>
      <c r="AH8">
        <f t="shared" si="14"/>
        <v>25</v>
      </c>
      <c r="AI8">
        <v>1306</v>
      </c>
      <c r="AJ8">
        <v>1356</v>
      </c>
      <c r="AL8">
        <f>0.5166+0.2433</f>
        <v>0.75989999999999991</v>
      </c>
      <c r="AM8">
        <v>22</v>
      </c>
      <c r="AN8">
        <v>106</v>
      </c>
      <c r="AO8">
        <v>132</v>
      </c>
      <c r="AP8">
        <f t="shared" si="15"/>
        <v>1.2452830188679245</v>
      </c>
      <c r="AQ8">
        <v>4</v>
      </c>
      <c r="AR8">
        <v>118</v>
      </c>
      <c r="AS8">
        <v>135</v>
      </c>
      <c r="AT8">
        <f t="shared" si="16"/>
        <v>17</v>
      </c>
      <c r="AU8">
        <f t="shared" si="17"/>
        <v>1.1440677966101696</v>
      </c>
      <c r="AV8">
        <f t="shared" si="18"/>
        <v>5.666666666666667</v>
      </c>
      <c r="AW8">
        <v>1306</v>
      </c>
      <c r="AX8">
        <v>1323</v>
      </c>
      <c r="AZ8">
        <f>0.8164+0.4355</f>
        <v>1.2519</v>
      </c>
      <c r="BA8">
        <v>41</v>
      </c>
      <c r="BB8">
        <v>61</v>
      </c>
      <c r="BC8">
        <f t="shared" si="19"/>
        <v>1.4878048780487805</v>
      </c>
      <c r="BD8">
        <v>89</v>
      </c>
      <c r="BE8">
        <v>4</v>
      </c>
      <c r="BF8">
        <v>118</v>
      </c>
      <c r="BG8">
        <v>169</v>
      </c>
      <c r="BH8">
        <f t="shared" si="20"/>
        <v>51</v>
      </c>
      <c r="BI8">
        <f t="shared" si="21"/>
        <v>1.4322033898305084</v>
      </c>
      <c r="BJ8">
        <f t="shared" si="22"/>
        <v>17</v>
      </c>
      <c r="BK8">
        <v>1307</v>
      </c>
      <c r="BL8">
        <v>1358</v>
      </c>
      <c r="BO8">
        <f t="shared" si="0"/>
        <v>29</v>
      </c>
      <c r="BP8">
        <f t="shared" si="23"/>
        <v>1.3766233766233766</v>
      </c>
      <c r="BQ8">
        <f t="shared" si="24"/>
        <v>12</v>
      </c>
      <c r="BR8">
        <f t="shared" si="25"/>
        <v>1.1558441558441559</v>
      </c>
      <c r="BS8">
        <f t="shared" si="26"/>
        <v>29</v>
      </c>
      <c r="BT8">
        <f t="shared" si="27"/>
        <v>1.3766233766233766</v>
      </c>
      <c r="BV8">
        <f t="shared" si="28"/>
        <v>1.8994437312794181</v>
      </c>
      <c r="BW8">
        <f t="shared" si="1"/>
        <v>19</v>
      </c>
      <c r="BX8">
        <f t="shared" si="2"/>
        <v>1.8636363636363635</v>
      </c>
      <c r="BY8">
        <f t="shared" si="29"/>
        <v>17</v>
      </c>
      <c r="BZ8">
        <f t="shared" si="30"/>
        <v>1.1910112359550562</v>
      </c>
      <c r="CA8">
        <f t="shared" si="31"/>
        <v>0</v>
      </c>
      <c r="CC8">
        <f t="shared" si="3"/>
        <v>0.30754046585076988</v>
      </c>
      <c r="CD8">
        <f t="shared" si="4"/>
        <v>0</v>
      </c>
      <c r="CE8">
        <f t="shared" si="5"/>
        <v>1</v>
      </c>
      <c r="CF8">
        <f t="shared" si="32"/>
        <v>0</v>
      </c>
      <c r="CG8">
        <f t="shared" si="33"/>
        <v>0</v>
      </c>
      <c r="CI8">
        <f t="shared" si="34"/>
        <v>1.7118720432529846</v>
      </c>
      <c r="CJ8">
        <f t="shared" si="35"/>
        <v>17</v>
      </c>
      <c r="CK8">
        <f t="shared" si="36"/>
        <v>1.1910112359550562</v>
      </c>
      <c r="CL8">
        <f t="shared" si="37"/>
        <v>0.22077922077922074</v>
      </c>
      <c r="CN8">
        <f t="shared" si="38"/>
        <v>0.18667625209681282</v>
      </c>
      <c r="CO8">
        <f t="shared" si="39"/>
        <v>17</v>
      </c>
      <c r="CP8">
        <f t="shared" si="40"/>
        <v>1.1910112359550562</v>
      </c>
      <c r="CQ8">
        <f t="shared" si="41"/>
        <v>0.839622641509434</v>
      </c>
      <c r="CR8">
        <f t="shared" si="42"/>
        <v>19</v>
      </c>
      <c r="CS8">
        <f t="shared" si="43"/>
        <v>0.53658536585365857</v>
      </c>
      <c r="CT8">
        <f t="shared" si="44"/>
        <v>1.8636363636363635</v>
      </c>
      <c r="CV8">
        <f t="shared" si="45"/>
        <v>0.35458103682402747</v>
      </c>
      <c r="CW8">
        <f t="shared" si="46"/>
        <v>0</v>
      </c>
      <c r="CX8">
        <f t="shared" si="47"/>
        <v>0</v>
      </c>
      <c r="CY8">
        <f t="shared" si="48"/>
        <v>1</v>
      </c>
      <c r="CZ8">
        <f t="shared" si="49"/>
        <v>1</v>
      </c>
    </row>
    <row r="9" spans="1:104" x14ac:dyDescent="0.35">
      <c r="A9">
        <v>5</v>
      </c>
      <c r="B9">
        <v>91</v>
      </c>
      <c r="C9">
        <v>230</v>
      </c>
      <c r="E9">
        <v>0.26679999999999998</v>
      </c>
      <c r="F9">
        <v>60</v>
      </c>
      <c r="G9">
        <v>4</v>
      </c>
      <c r="H9">
        <v>130</v>
      </c>
      <c r="I9">
        <v>206</v>
      </c>
      <c r="J9">
        <f t="shared" si="6"/>
        <v>76</v>
      </c>
      <c r="K9">
        <f t="shared" si="7"/>
        <v>1.5846153846153845</v>
      </c>
      <c r="L9">
        <f t="shared" si="8"/>
        <v>25.333333333333332</v>
      </c>
      <c r="N9">
        <v>0.21240000000000001</v>
      </c>
      <c r="O9">
        <v>26</v>
      </c>
      <c r="P9">
        <v>90</v>
      </c>
      <c r="Q9">
        <v>2</v>
      </c>
      <c r="R9">
        <v>130</v>
      </c>
      <c r="S9">
        <v>132</v>
      </c>
      <c r="T9">
        <f t="shared" si="9"/>
        <v>2</v>
      </c>
      <c r="U9">
        <f t="shared" si="10"/>
        <v>1.0153846153846153</v>
      </c>
      <c r="V9">
        <f t="shared" si="11"/>
        <v>2</v>
      </c>
      <c r="W9">
        <v>476</v>
      </c>
      <c r="X9">
        <v>478</v>
      </c>
      <c r="Z9">
        <v>0.31290000000000001</v>
      </c>
      <c r="AA9">
        <v>36</v>
      </c>
      <c r="AB9">
        <v>70</v>
      </c>
      <c r="AC9">
        <v>2</v>
      </c>
      <c r="AD9">
        <v>130</v>
      </c>
      <c r="AE9">
        <v>131</v>
      </c>
      <c r="AF9">
        <f t="shared" si="12"/>
        <v>1</v>
      </c>
      <c r="AG9">
        <f t="shared" si="13"/>
        <v>1.0076923076923077</v>
      </c>
      <c r="AH9">
        <f t="shared" si="14"/>
        <v>1</v>
      </c>
      <c r="AI9">
        <v>1398</v>
      </c>
      <c r="AJ9">
        <v>1399</v>
      </c>
      <c r="AL9">
        <f>0.3274+0.2162</f>
        <v>0.54360000000000008</v>
      </c>
      <c r="AM9">
        <v>26</v>
      </c>
      <c r="AN9">
        <v>88</v>
      </c>
      <c r="AO9">
        <v>114</v>
      </c>
      <c r="AP9">
        <f t="shared" si="15"/>
        <v>1.2954545454545454</v>
      </c>
      <c r="AQ9">
        <v>2</v>
      </c>
      <c r="AR9">
        <v>130</v>
      </c>
      <c r="AS9">
        <v>131</v>
      </c>
      <c r="AT9">
        <f t="shared" si="16"/>
        <v>1</v>
      </c>
      <c r="AU9">
        <f t="shared" si="17"/>
        <v>1.0076923076923077</v>
      </c>
      <c r="AV9">
        <f t="shared" si="18"/>
        <v>1</v>
      </c>
      <c r="AW9">
        <v>1398</v>
      </c>
      <c r="AX9">
        <v>1399</v>
      </c>
      <c r="AZ9">
        <f>0.3069+0.3079</f>
        <v>0.61480000000000001</v>
      </c>
      <c r="BA9">
        <v>33</v>
      </c>
      <c r="BB9">
        <v>67</v>
      </c>
      <c r="BC9">
        <f t="shared" si="19"/>
        <v>2.0303030303030303</v>
      </c>
      <c r="BD9">
        <v>70</v>
      </c>
      <c r="BE9">
        <v>2</v>
      </c>
      <c r="BF9">
        <v>130</v>
      </c>
      <c r="BG9">
        <v>131</v>
      </c>
      <c r="BH9">
        <f t="shared" si="20"/>
        <v>1</v>
      </c>
      <c r="BI9">
        <f t="shared" si="21"/>
        <v>1.0076923076923077</v>
      </c>
      <c r="BJ9">
        <f t="shared" si="22"/>
        <v>1</v>
      </c>
      <c r="BK9">
        <v>1399</v>
      </c>
      <c r="BL9">
        <v>1400</v>
      </c>
      <c r="BO9">
        <f t="shared" si="0"/>
        <v>30</v>
      </c>
      <c r="BP9">
        <f t="shared" si="23"/>
        <v>1.5</v>
      </c>
      <c r="BQ9">
        <f t="shared" si="24"/>
        <v>10</v>
      </c>
      <c r="BR9">
        <f t="shared" si="25"/>
        <v>1.1666666666666667</v>
      </c>
      <c r="BS9">
        <f t="shared" si="26"/>
        <v>28</v>
      </c>
      <c r="BT9">
        <f t="shared" si="27"/>
        <v>1.4666666666666666</v>
      </c>
      <c r="BV9">
        <f t="shared" si="28"/>
        <v>1.4731638418079096</v>
      </c>
      <c r="BW9">
        <f t="shared" si="1"/>
        <v>10</v>
      </c>
      <c r="BX9">
        <f t="shared" si="2"/>
        <v>1.3846153846153846</v>
      </c>
      <c r="BY9">
        <f t="shared" si="29"/>
        <v>20</v>
      </c>
      <c r="BZ9">
        <f t="shared" si="30"/>
        <v>1.2857142857142858</v>
      </c>
      <c r="CA9">
        <f t="shared" si="31"/>
        <v>0</v>
      </c>
      <c r="CC9">
        <f t="shared" si="3"/>
        <v>0.39072847682119199</v>
      </c>
      <c r="CD9">
        <f t="shared" si="4"/>
        <v>2</v>
      </c>
      <c r="CE9">
        <f t="shared" si="5"/>
        <v>1.0227272727272727</v>
      </c>
      <c r="CF9">
        <f t="shared" si="32"/>
        <v>0</v>
      </c>
      <c r="CG9">
        <f t="shared" si="33"/>
        <v>3.3333333333333437E-2</v>
      </c>
      <c r="CI9">
        <f t="shared" si="34"/>
        <v>1.7372962607861939</v>
      </c>
      <c r="CJ9">
        <f t="shared" si="35"/>
        <v>18</v>
      </c>
      <c r="CK9">
        <f t="shared" si="36"/>
        <v>1.2571428571428571</v>
      </c>
      <c r="CL9">
        <f t="shared" si="37"/>
        <v>0.29999999999999982</v>
      </c>
      <c r="CN9">
        <f t="shared" si="38"/>
        <v>0.34547820429407938</v>
      </c>
      <c r="CO9">
        <f t="shared" si="39"/>
        <v>20</v>
      </c>
      <c r="CP9">
        <f t="shared" si="40"/>
        <v>1.2857142857142858</v>
      </c>
      <c r="CQ9">
        <f t="shared" si="41"/>
        <v>0.77777777777777779</v>
      </c>
      <c r="CR9">
        <f t="shared" si="42"/>
        <v>7</v>
      </c>
      <c r="CS9">
        <f t="shared" si="43"/>
        <v>0.78787878787878785</v>
      </c>
      <c r="CT9">
        <f t="shared" si="44"/>
        <v>1.2692307692307692</v>
      </c>
      <c r="CV9">
        <f t="shared" si="45"/>
        <v>0.50894599869876378</v>
      </c>
      <c r="CW9">
        <f t="shared" si="46"/>
        <v>0</v>
      </c>
      <c r="CX9">
        <f t="shared" si="47"/>
        <v>3</v>
      </c>
      <c r="CY9">
        <f t="shared" si="48"/>
        <v>1.0909090909090908</v>
      </c>
      <c r="CZ9">
        <f t="shared" si="49"/>
        <v>0.91666666666666663</v>
      </c>
    </row>
    <row r="10" spans="1:104" s="4" customFormat="1" x14ac:dyDescent="0.35">
      <c r="A10" s="4">
        <v>5</v>
      </c>
      <c r="B10" s="4">
        <v>89</v>
      </c>
      <c r="C10" s="4">
        <v>242</v>
      </c>
      <c r="D10" s="5"/>
      <c r="E10" s="4">
        <v>0.44290000000000002</v>
      </c>
      <c r="F10" s="4">
        <v>82</v>
      </c>
      <c r="G10" s="4">
        <v>8</v>
      </c>
      <c r="H10" s="4">
        <v>132</v>
      </c>
      <c r="I10" s="4">
        <v>260</v>
      </c>
      <c r="J10" s="4">
        <f t="shared" si="6"/>
        <v>128</v>
      </c>
      <c r="K10" s="4">
        <f t="shared" si="7"/>
        <v>1.9696969696969697</v>
      </c>
      <c r="L10" s="4">
        <f t="shared" si="8"/>
        <v>18.285714285714285</v>
      </c>
      <c r="M10" s="5"/>
      <c r="N10" s="4">
        <v>0.26150000000000001</v>
      </c>
      <c r="O10" s="4">
        <v>22</v>
      </c>
      <c r="P10" s="4">
        <v>135</v>
      </c>
      <c r="Q10" s="4">
        <v>3</v>
      </c>
      <c r="R10" s="4">
        <v>132</v>
      </c>
      <c r="S10" s="4">
        <v>143</v>
      </c>
      <c r="T10" s="4">
        <f t="shared" si="9"/>
        <v>11</v>
      </c>
      <c r="U10" s="4">
        <f t="shared" si="10"/>
        <v>1.0833333333333333</v>
      </c>
      <c r="V10" s="4">
        <f t="shared" si="11"/>
        <v>5.5</v>
      </c>
      <c r="W10" s="4">
        <v>480</v>
      </c>
      <c r="X10" s="4">
        <v>491</v>
      </c>
      <c r="Y10" s="5"/>
      <c r="Z10" s="4">
        <v>0.76529999999999998</v>
      </c>
      <c r="AA10" s="4">
        <v>38</v>
      </c>
      <c r="AB10" s="4">
        <v>101</v>
      </c>
      <c r="AC10" s="4">
        <v>4</v>
      </c>
      <c r="AD10" s="4">
        <v>132</v>
      </c>
      <c r="AE10" s="4">
        <v>144</v>
      </c>
      <c r="AF10" s="4">
        <f t="shared" si="12"/>
        <v>12</v>
      </c>
      <c r="AG10" s="4">
        <f t="shared" si="13"/>
        <v>1.0909090909090908</v>
      </c>
      <c r="AH10" s="4">
        <f t="shared" si="14"/>
        <v>4</v>
      </c>
      <c r="AI10" s="4">
        <v>1418</v>
      </c>
      <c r="AJ10" s="4">
        <v>1430</v>
      </c>
      <c r="AK10" s="5"/>
      <c r="AL10" s="4">
        <f>0.6771+0.3201</f>
        <v>0.99720000000000009</v>
      </c>
      <c r="AM10" s="4">
        <v>22</v>
      </c>
      <c r="AN10" s="4">
        <v>134</v>
      </c>
      <c r="AO10" s="4">
        <v>135</v>
      </c>
      <c r="AP10" s="4">
        <f t="shared" si="15"/>
        <v>1.0074626865671641</v>
      </c>
      <c r="AQ10" s="4">
        <v>3</v>
      </c>
      <c r="AR10" s="4">
        <v>132</v>
      </c>
      <c r="AS10" s="4">
        <v>161</v>
      </c>
      <c r="AT10" s="4">
        <f t="shared" si="16"/>
        <v>29</v>
      </c>
      <c r="AU10" s="4">
        <f t="shared" si="17"/>
        <v>1.2196969696969697</v>
      </c>
      <c r="AV10" s="4">
        <f t="shared" si="18"/>
        <v>14.5</v>
      </c>
      <c r="AW10" s="4">
        <v>1418</v>
      </c>
      <c r="AX10" s="4">
        <v>1447</v>
      </c>
      <c r="AY10" s="5"/>
      <c r="AZ10" s="4">
        <f>0.449+0.7637</f>
        <v>1.2127000000000001</v>
      </c>
      <c r="BA10" s="4">
        <v>33</v>
      </c>
      <c r="BB10" s="4">
        <v>73</v>
      </c>
      <c r="BC10" s="4">
        <f t="shared" si="19"/>
        <v>2.2121212121212119</v>
      </c>
      <c r="BD10" s="4">
        <v>101</v>
      </c>
      <c r="BE10" s="4">
        <v>2</v>
      </c>
      <c r="BF10" s="4">
        <v>132</v>
      </c>
      <c r="BG10" s="4">
        <v>144</v>
      </c>
      <c r="BH10" s="4">
        <f t="shared" si="20"/>
        <v>12</v>
      </c>
      <c r="BI10" s="4">
        <f t="shared" si="21"/>
        <v>1.0909090909090908</v>
      </c>
      <c r="BJ10" s="4">
        <f t="shared" si="22"/>
        <v>12</v>
      </c>
      <c r="BK10" s="4">
        <v>1419</v>
      </c>
      <c r="BL10" s="4">
        <v>1431</v>
      </c>
      <c r="BM10" s="5"/>
      <c r="BN10" s="5"/>
      <c r="BO10" s="4">
        <f t="shared" si="0"/>
        <v>53</v>
      </c>
      <c r="BP10" s="4">
        <f t="shared" si="23"/>
        <v>1.6463414634146341</v>
      </c>
      <c r="BQ10" s="4">
        <f t="shared" si="24"/>
        <v>19</v>
      </c>
      <c r="BR10" s="4">
        <f t="shared" si="25"/>
        <v>1.2317073170731707</v>
      </c>
      <c r="BS10" s="4">
        <f t="shared" si="26"/>
        <v>52</v>
      </c>
      <c r="BT10" s="4">
        <f t="shared" si="27"/>
        <v>1.6341463414634145</v>
      </c>
      <c r="BU10" s="5"/>
      <c r="BV10" s="4">
        <f t="shared" si="28"/>
        <v>2.9265774378585085</v>
      </c>
      <c r="BW10" s="4">
        <f t="shared" si="1"/>
        <v>16</v>
      </c>
      <c r="BX10" s="4">
        <f t="shared" si="2"/>
        <v>1.7272727272727273</v>
      </c>
      <c r="BY10" s="4">
        <f t="shared" si="29"/>
        <v>34</v>
      </c>
      <c r="BZ10" s="4">
        <f t="shared" si="30"/>
        <v>1.3366336633663367</v>
      </c>
      <c r="CA10" s="4">
        <f t="shared" si="31"/>
        <v>1</v>
      </c>
      <c r="CB10" s="5"/>
      <c r="CC10" s="4">
        <f t="shared" si="3"/>
        <v>0.26223425591656635</v>
      </c>
      <c r="CD10" s="4">
        <f t="shared" si="4"/>
        <v>1</v>
      </c>
      <c r="CE10" s="4">
        <f t="shared" si="5"/>
        <v>1.0074626865671641</v>
      </c>
      <c r="CF10" s="4">
        <f t="shared" si="32"/>
        <v>0</v>
      </c>
      <c r="CG10" s="4">
        <f t="shared" si="33"/>
        <v>1.2195121951219523E-2</v>
      </c>
      <c r="CH10" s="5"/>
      <c r="CI10" s="4">
        <f t="shared" si="34"/>
        <v>1.3030184241473932</v>
      </c>
      <c r="CJ10" s="4">
        <f t="shared" si="35"/>
        <v>33</v>
      </c>
      <c r="CK10" s="4">
        <f t="shared" si="36"/>
        <v>1.3267326732673268</v>
      </c>
      <c r="CL10" s="4">
        <f t="shared" si="37"/>
        <v>0.40243902439024382</v>
      </c>
      <c r="CM10" s="5"/>
      <c r="CN10" s="4">
        <f t="shared" si="38"/>
        <v>0.21563453450977157</v>
      </c>
      <c r="CO10" s="4">
        <f t="shared" si="39"/>
        <v>34</v>
      </c>
      <c r="CP10" s="4">
        <f t="shared" si="40"/>
        <v>1.3366336633663367</v>
      </c>
      <c r="CQ10" s="4">
        <f t="shared" si="41"/>
        <v>0.74814814814814812</v>
      </c>
      <c r="CR10" s="4">
        <f t="shared" si="42"/>
        <v>11</v>
      </c>
      <c r="CS10" s="4">
        <f t="shared" si="43"/>
        <v>0.66666666666666663</v>
      </c>
      <c r="CT10" s="4">
        <f t="shared" si="44"/>
        <v>1.5</v>
      </c>
      <c r="CU10" s="5"/>
      <c r="CV10" s="4">
        <f t="shared" si="45"/>
        <v>0.63107116351941939</v>
      </c>
      <c r="CW10" s="4">
        <f t="shared" si="46"/>
        <v>0</v>
      </c>
      <c r="CX10" s="4">
        <f t="shared" si="47"/>
        <v>5</v>
      </c>
      <c r="CY10" s="4">
        <f t="shared" si="48"/>
        <v>1.1515151515151516</v>
      </c>
      <c r="CZ10" s="4">
        <f t="shared" si="49"/>
        <v>0.86842105263157898</v>
      </c>
    </row>
    <row r="11" spans="1:104" x14ac:dyDescent="0.35">
      <c r="A11">
        <v>6</v>
      </c>
      <c r="B11">
        <v>184</v>
      </c>
      <c r="C11">
        <v>637</v>
      </c>
      <c r="E11">
        <v>3.3847999999999998</v>
      </c>
      <c r="F11">
        <v>199</v>
      </c>
      <c r="G11">
        <v>8</v>
      </c>
      <c r="H11">
        <v>358</v>
      </c>
      <c r="I11">
        <v>1031</v>
      </c>
      <c r="J11">
        <f t="shared" si="6"/>
        <v>673</v>
      </c>
      <c r="K11">
        <f t="shared" si="7"/>
        <v>2.8798882681564244</v>
      </c>
      <c r="L11">
        <f t="shared" si="8"/>
        <v>96.142857142857139</v>
      </c>
      <c r="N11">
        <v>1.6069</v>
      </c>
      <c r="O11">
        <v>53</v>
      </c>
      <c r="P11">
        <v>318</v>
      </c>
      <c r="Q11">
        <v>3</v>
      </c>
      <c r="R11">
        <v>358</v>
      </c>
      <c r="S11">
        <v>438</v>
      </c>
      <c r="T11">
        <f t="shared" si="9"/>
        <v>80</v>
      </c>
      <c r="U11">
        <f t="shared" si="10"/>
        <v>1.223463687150838</v>
      </c>
      <c r="V11">
        <f t="shared" si="11"/>
        <v>40</v>
      </c>
      <c r="W11">
        <v>1270</v>
      </c>
      <c r="X11">
        <v>1350</v>
      </c>
      <c r="Z11">
        <v>2.1616</v>
      </c>
      <c r="AA11">
        <v>90</v>
      </c>
      <c r="AB11">
        <v>227</v>
      </c>
      <c r="AC11">
        <v>3</v>
      </c>
      <c r="AD11">
        <v>358</v>
      </c>
      <c r="AE11">
        <v>407</v>
      </c>
      <c r="AF11">
        <f t="shared" si="12"/>
        <v>49</v>
      </c>
      <c r="AG11">
        <f t="shared" si="13"/>
        <v>1.1368715083798884</v>
      </c>
      <c r="AH11">
        <f t="shared" si="14"/>
        <v>24.5</v>
      </c>
      <c r="AI11">
        <v>3731</v>
      </c>
      <c r="AJ11">
        <v>3780</v>
      </c>
      <c r="AL11">
        <f>6.6261+1.6031</f>
        <v>8.2292000000000005</v>
      </c>
      <c r="AM11">
        <v>53</v>
      </c>
      <c r="AN11">
        <v>314</v>
      </c>
      <c r="AO11">
        <v>399</v>
      </c>
      <c r="AP11">
        <f t="shared" si="15"/>
        <v>1.2707006369426752</v>
      </c>
      <c r="AQ11">
        <v>4</v>
      </c>
      <c r="AR11">
        <v>358</v>
      </c>
      <c r="AS11">
        <v>461</v>
      </c>
      <c r="AT11">
        <f t="shared" si="16"/>
        <v>103</v>
      </c>
      <c r="AU11">
        <f t="shared" si="17"/>
        <v>1.2877094972067038</v>
      </c>
      <c r="AV11">
        <f t="shared" si="18"/>
        <v>34.333333333333336</v>
      </c>
      <c r="AW11">
        <v>3731</v>
      </c>
      <c r="AX11">
        <v>3834</v>
      </c>
      <c r="AZ11">
        <f>3.2355+2.1969</f>
        <v>5.4323999999999995</v>
      </c>
      <c r="BA11">
        <v>84</v>
      </c>
      <c r="BB11">
        <v>140</v>
      </c>
      <c r="BC11">
        <f t="shared" si="19"/>
        <v>1.6666666666666667</v>
      </c>
      <c r="BD11">
        <v>227</v>
      </c>
      <c r="BE11">
        <v>3</v>
      </c>
      <c r="BF11">
        <v>358</v>
      </c>
      <c r="BG11">
        <v>390</v>
      </c>
      <c r="BH11">
        <f t="shared" si="20"/>
        <v>32</v>
      </c>
      <c r="BI11">
        <f t="shared" si="21"/>
        <v>1.0893854748603351</v>
      </c>
      <c r="BJ11">
        <f t="shared" si="22"/>
        <v>16</v>
      </c>
      <c r="BK11">
        <v>3732</v>
      </c>
      <c r="BL11">
        <v>3764</v>
      </c>
      <c r="BO11">
        <f t="shared" si="0"/>
        <v>119</v>
      </c>
      <c r="BP11">
        <f t="shared" si="23"/>
        <v>1.5979899497487438</v>
      </c>
      <c r="BQ11">
        <f t="shared" si="24"/>
        <v>28</v>
      </c>
      <c r="BR11">
        <f t="shared" si="25"/>
        <v>1.1407035175879396</v>
      </c>
      <c r="BS11">
        <f t="shared" si="26"/>
        <v>115</v>
      </c>
      <c r="BT11">
        <f t="shared" si="27"/>
        <v>1.5778894472361809</v>
      </c>
      <c r="BV11">
        <f t="shared" si="28"/>
        <v>1.3451988300454292</v>
      </c>
      <c r="BW11">
        <f t="shared" si="1"/>
        <v>37</v>
      </c>
      <c r="BX11">
        <f t="shared" si="2"/>
        <v>1.6981132075471699</v>
      </c>
      <c r="BY11">
        <f t="shared" si="29"/>
        <v>91</v>
      </c>
      <c r="BZ11">
        <f t="shared" si="30"/>
        <v>1.4008810572687225</v>
      </c>
      <c r="CA11">
        <f t="shared" si="31"/>
        <v>0</v>
      </c>
      <c r="CC11">
        <f t="shared" si="3"/>
        <v>0.19526806980022357</v>
      </c>
      <c r="CD11">
        <f t="shared" si="4"/>
        <v>4</v>
      </c>
      <c r="CE11">
        <f t="shared" si="5"/>
        <v>1.0127388535031847</v>
      </c>
      <c r="CF11">
        <f t="shared" si="32"/>
        <v>0</v>
      </c>
      <c r="CG11">
        <f t="shared" si="33"/>
        <v>2.0100502512562901E-2</v>
      </c>
      <c r="CI11">
        <f t="shared" si="34"/>
        <v>3.8069948186528499</v>
      </c>
      <c r="CJ11">
        <f t="shared" si="35"/>
        <v>87</v>
      </c>
      <c r="CK11">
        <f t="shared" si="36"/>
        <v>1.3832599118942732</v>
      </c>
      <c r="CL11">
        <f t="shared" si="37"/>
        <v>0.43718592964824121</v>
      </c>
      <c r="CN11">
        <f t="shared" si="38"/>
        <v>0.29579927840365217</v>
      </c>
      <c r="CO11">
        <f t="shared" si="39"/>
        <v>91</v>
      </c>
      <c r="CP11">
        <f t="shared" si="40"/>
        <v>1.4008810572687225</v>
      </c>
      <c r="CQ11">
        <f t="shared" si="41"/>
        <v>0.71383647798742134</v>
      </c>
      <c r="CR11">
        <f t="shared" si="42"/>
        <v>31</v>
      </c>
      <c r="CS11">
        <f t="shared" si="43"/>
        <v>0.63095238095238093</v>
      </c>
      <c r="CT11">
        <f t="shared" si="44"/>
        <v>1.5849056603773586</v>
      </c>
      <c r="CV11">
        <f t="shared" si="45"/>
        <v>0.39790884323687509</v>
      </c>
      <c r="CW11">
        <f t="shared" si="46"/>
        <v>0</v>
      </c>
      <c r="CX11">
        <f t="shared" si="47"/>
        <v>6</v>
      </c>
      <c r="CY11">
        <f t="shared" si="48"/>
        <v>1.0714285714285714</v>
      </c>
      <c r="CZ11">
        <f t="shared" si="49"/>
        <v>0.93333333333333335</v>
      </c>
    </row>
    <row r="12" spans="1:104" x14ac:dyDescent="0.35">
      <c r="A12">
        <v>6</v>
      </c>
      <c r="B12">
        <v>182</v>
      </c>
      <c r="C12">
        <v>598</v>
      </c>
      <c r="E12">
        <v>3.6858</v>
      </c>
      <c r="F12">
        <v>188</v>
      </c>
      <c r="G12">
        <v>9</v>
      </c>
      <c r="H12">
        <v>320</v>
      </c>
      <c r="I12">
        <v>1214</v>
      </c>
      <c r="J12">
        <f t="shared" si="6"/>
        <v>894</v>
      </c>
      <c r="K12">
        <f t="shared" si="7"/>
        <v>3.7937500000000002</v>
      </c>
      <c r="L12">
        <f t="shared" si="8"/>
        <v>111.75</v>
      </c>
      <c r="N12">
        <v>1.1898</v>
      </c>
      <c r="O12">
        <v>49</v>
      </c>
      <c r="P12">
        <v>307</v>
      </c>
      <c r="Q12">
        <v>3</v>
      </c>
      <c r="R12">
        <v>320</v>
      </c>
      <c r="S12">
        <v>352</v>
      </c>
      <c r="T12">
        <f t="shared" si="9"/>
        <v>32</v>
      </c>
      <c r="U12">
        <f t="shared" si="10"/>
        <v>1.1000000000000001</v>
      </c>
      <c r="V12">
        <f t="shared" si="11"/>
        <v>16</v>
      </c>
      <c r="W12">
        <v>1178</v>
      </c>
      <c r="X12">
        <v>1210</v>
      </c>
      <c r="Z12">
        <v>1.7529999999999999</v>
      </c>
      <c r="AA12">
        <v>69</v>
      </c>
      <c r="AB12">
        <v>224</v>
      </c>
      <c r="AC12">
        <v>2</v>
      </c>
      <c r="AD12">
        <v>320</v>
      </c>
      <c r="AE12">
        <v>389</v>
      </c>
      <c r="AF12">
        <f t="shared" si="12"/>
        <v>69</v>
      </c>
      <c r="AG12">
        <f t="shared" si="13"/>
        <v>1.215625</v>
      </c>
      <c r="AH12">
        <f t="shared" si="14"/>
        <v>69</v>
      </c>
      <c r="AI12">
        <v>3492</v>
      </c>
      <c r="AJ12">
        <v>3561</v>
      </c>
      <c r="AL12">
        <f>2.0905+1.2968</f>
        <v>3.3872999999999998</v>
      </c>
      <c r="AM12">
        <v>49</v>
      </c>
      <c r="AN12">
        <v>307</v>
      </c>
      <c r="AO12">
        <v>315</v>
      </c>
      <c r="AP12">
        <f t="shared" si="15"/>
        <v>1.0260586319218241</v>
      </c>
      <c r="AQ12">
        <v>3</v>
      </c>
      <c r="AR12">
        <v>320</v>
      </c>
      <c r="AS12">
        <v>345</v>
      </c>
      <c r="AT12">
        <f t="shared" si="16"/>
        <v>25</v>
      </c>
      <c r="AU12">
        <f t="shared" si="17"/>
        <v>1.078125</v>
      </c>
      <c r="AV12">
        <f t="shared" si="18"/>
        <v>12.5</v>
      </c>
      <c r="AW12">
        <v>3492</v>
      </c>
      <c r="AX12">
        <v>3517</v>
      </c>
      <c r="AZ12">
        <f>1.1005+1.7531</f>
        <v>2.8536000000000001</v>
      </c>
      <c r="BA12">
        <v>68</v>
      </c>
      <c r="BB12">
        <v>134</v>
      </c>
      <c r="BC12">
        <f t="shared" si="19"/>
        <v>1.9705882352941178</v>
      </c>
      <c r="BD12">
        <v>224</v>
      </c>
      <c r="BE12">
        <v>1</v>
      </c>
      <c r="BF12">
        <v>320</v>
      </c>
      <c r="BG12">
        <v>320</v>
      </c>
      <c r="BH12">
        <f t="shared" si="20"/>
        <v>0</v>
      </c>
      <c r="BI12">
        <f t="shared" si="21"/>
        <v>1</v>
      </c>
      <c r="BJ12" t="e">
        <f t="shared" si="22"/>
        <v>#DIV/0!</v>
      </c>
      <c r="BK12">
        <v>3493</v>
      </c>
      <c r="BL12">
        <v>3493</v>
      </c>
      <c r="BO12">
        <f t="shared" si="0"/>
        <v>119</v>
      </c>
      <c r="BP12">
        <f t="shared" si="23"/>
        <v>1.6329787234042554</v>
      </c>
      <c r="BQ12">
        <f t="shared" si="24"/>
        <v>36</v>
      </c>
      <c r="BR12">
        <f t="shared" si="25"/>
        <v>1.1914893617021276</v>
      </c>
      <c r="BS12">
        <f t="shared" si="26"/>
        <v>119</v>
      </c>
      <c r="BT12">
        <f t="shared" si="27"/>
        <v>1.6329787234042554</v>
      </c>
      <c r="BV12">
        <f t="shared" si="28"/>
        <v>1.4733568667002857</v>
      </c>
      <c r="BW12">
        <f t="shared" si="1"/>
        <v>20</v>
      </c>
      <c r="BX12">
        <f t="shared" si="2"/>
        <v>1.4081632653061225</v>
      </c>
      <c r="BY12">
        <f t="shared" si="29"/>
        <v>83</v>
      </c>
      <c r="BZ12">
        <f t="shared" si="30"/>
        <v>1.3705357142857142</v>
      </c>
      <c r="CA12">
        <f t="shared" si="31"/>
        <v>-1</v>
      </c>
      <c r="CC12">
        <f t="shared" si="3"/>
        <v>0.35125321052165442</v>
      </c>
      <c r="CD12">
        <f t="shared" si="4"/>
        <v>0</v>
      </c>
      <c r="CE12">
        <f t="shared" si="5"/>
        <v>1</v>
      </c>
      <c r="CF12">
        <f t="shared" si="32"/>
        <v>0</v>
      </c>
      <c r="CG12">
        <f t="shared" si="33"/>
        <v>0</v>
      </c>
      <c r="CI12">
        <f t="shared" si="34"/>
        <v>1.9322875071306331</v>
      </c>
      <c r="CJ12">
        <f t="shared" si="35"/>
        <v>83</v>
      </c>
      <c r="CK12">
        <f t="shared" si="36"/>
        <v>1.3705357142857142</v>
      </c>
      <c r="CL12">
        <f t="shared" si="37"/>
        <v>0.44148936170212782</v>
      </c>
      <c r="CN12">
        <f t="shared" si="38"/>
        <v>0.41694701429772918</v>
      </c>
      <c r="CO12">
        <f t="shared" si="39"/>
        <v>83</v>
      </c>
      <c r="CP12">
        <f t="shared" si="40"/>
        <v>1.3705357142857142</v>
      </c>
      <c r="CQ12">
        <f t="shared" si="41"/>
        <v>0.72964169381107491</v>
      </c>
      <c r="CR12">
        <f t="shared" si="42"/>
        <v>19</v>
      </c>
      <c r="CS12">
        <f t="shared" si="43"/>
        <v>0.72058823529411764</v>
      </c>
      <c r="CT12">
        <f t="shared" si="44"/>
        <v>1.3877551020408163</v>
      </c>
      <c r="CV12">
        <f t="shared" si="45"/>
        <v>0.6143117465657415</v>
      </c>
      <c r="CW12">
        <f t="shared" si="46"/>
        <v>0</v>
      </c>
      <c r="CX12">
        <f t="shared" si="47"/>
        <v>1</v>
      </c>
      <c r="CY12">
        <f t="shared" si="48"/>
        <v>1.0147058823529411</v>
      </c>
      <c r="CZ12">
        <f t="shared" si="49"/>
        <v>0.98550724637681164</v>
      </c>
    </row>
    <row r="13" spans="1:104" s="4" customFormat="1" x14ac:dyDescent="0.35">
      <c r="A13" s="4">
        <v>6</v>
      </c>
      <c r="B13" s="4">
        <v>189</v>
      </c>
      <c r="C13" s="4">
        <v>529</v>
      </c>
      <c r="D13" s="5"/>
      <c r="E13" s="4">
        <v>2.1966999999999999</v>
      </c>
      <c r="F13" s="4">
        <v>184</v>
      </c>
      <c r="G13" s="4">
        <v>10</v>
      </c>
      <c r="H13" s="4">
        <v>262</v>
      </c>
      <c r="I13" s="4">
        <v>769</v>
      </c>
      <c r="J13" s="4">
        <f t="shared" si="6"/>
        <v>507</v>
      </c>
      <c r="K13" s="4">
        <f t="shared" si="7"/>
        <v>2.9351145038167941</v>
      </c>
      <c r="L13" s="4">
        <f t="shared" si="8"/>
        <v>56.333333333333336</v>
      </c>
      <c r="M13" s="5"/>
      <c r="N13" s="4">
        <v>0.97270000000000001</v>
      </c>
      <c r="O13" s="4">
        <v>57</v>
      </c>
      <c r="P13" s="4">
        <v>249</v>
      </c>
      <c r="Q13" s="4">
        <v>3</v>
      </c>
      <c r="R13" s="4">
        <v>262</v>
      </c>
      <c r="S13" s="4">
        <v>300</v>
      </c>
      <c r="T13" s="4">
        <f t="shared" si="9"/>
        <v>38</v>
      </c>
      <c r="U13" s="4">
        <f t="shared" si="10"/>
        <v>1.1450381679389312</v>
      </c>
      <c r="V13" s="4">
        <f t="shared" si="11"/>
        <v>19</v>
      </c>
      <c r="W13" s="4">
        <v>1034</v>
      </c>
      <c r="X13" s="4">
        <v>1072</v>
      </c>
      <c r="Y13" s="5"/>
      <c r="Z13" s="4">
        <v>2.1956000000000002</v>
      </c>
      <c r="AA13" s="4">
        <v>76</v>
      </c>
      <c r="AB13" s="4">
        <v>217</v>
      </c>
      <c r="AC13" s="4">
        <v>5</v>
      </c>
      <c r="AD13" s="4">
        <v>262</v>
      </c>
      <c r="AE13" s="4">
        <v>313</v>
      </c>
      <c r="AF13" s="4">
        <f t="shared" si="12"/>
        <v>51</v>
      </c>
      <c r="AG13" s="4">
        <f t="shared" si="13"/>
        <v>1.1946564885496183</v>
      </c>
      <c r="AH13" s="4">
        <f t="shared" si="14"/>
        <v>12.75</v>
      </c>
      <c r="AI13" s="4">
        <v>3107</v>
      </c>
      <c r="AJ13" s="4">
        <v>3158</v>
      </c>
      <c r="AK13" s="5"/>
      <c r="AL13" s="4">
        <f>1.7038+1.0699</f>
        <v>2.7736999999999998</v>
      </c>
      <c r="AM13" s="4">
        <v>57</v>
      </c>
      <c r="AN13" s="4">
        <v>238</v>
      </c>
      <c r="AO13" s="4">
        <v>266</v>
      </c>
      <c r="AP13" s="4">
        <f t="shared" si="15"/>
        <v>1.1176470588235294</v>
      </c>
      <c r="AQ13" s="4">
        <v>2</v>
      </c>
      <c r="AR13" s="4">
        <v>262</v>
      </c>
      <c r="AS13" s="4">
        <v>289</v>
      </c>
      <c r="AT13" s="4">
        <f t="shared" si="16"/>
        <v>27</v>
      </c>
      <c r="AU13" s="4">
        <f t="shared" si="17"/>
        <v>1.1030534351145038</v>
      </c>
      <c r="AV13" s="4">
        <f t="shared" si="18"/>
        <v>27</v>
      </c>
      <c r="AW13" s="4">
        <v>3107</v>
      </c>
      <c r="AX13" s="4">
        <v>3134</v>
      </c>
      <c r="AY13" s="5"/>
      <c r="AZ13" s="4">
        <f>1.9176+2.1825</f>
        <v>4.1001000000000003</v>
      </c>
      <c r="BA13" s="4">
        <v>68</v>
      </c>
      <c r="BB13" s="4">
        <v>142</v>
      </c>
      <c r="BC13" s="4">
        <f t="shared" si="19"/>
        <v>2.0882352941176472</v>
      </c>
      <c r="BD13" s="4">
        <v>217</v>
      </c>
      <c r="BE13" s="4">
        <v>4</v>
      </c>
      <c r="BF13" s="4">
        <v>262</v>
      </c>
      <c r="BG13" s="4">
        <v>304</v>
      </c>
      <c r="BH13" s="4">
        <f t="shared" si="20"/>
        <v>42</v>
      </c>
      <c r="BI13" s="4">
        <f t="shared" si="21"/>
        <v>1.1603053435114503</v>
      </c>
      <c r="BJ13" s="4">
        <f t="shared" si="22"/>
        <v>14</v>
      </c>
      <c r="BK13" s="4">
        <v>3108</v>
      </c>
      <c r="BL13" s="4">
        <v>3150</v>
      </c>
      <c r="BM13" s="5"/>
      <c r="BN13" s="5"/>
      <c r="BO13" s="4">
        <f t="shared" si="0"/>
        <v>65</v>
      </c>
      <c r="BP13" s="4">
        <f t="shared" si="23"/>
        <v>1.3532608695652173</v>
      </c>
      <c r="BQ13" s="4">
        <f t="shared" si="24"/>
        <v>33</v>
      </c>
      <c r="BR13" s="4">
        <f t="shared" si="25"/>
        <v>1.1793478260869565</v>
      </c>
      <c r="BS13" s="4">
        <f t="shared" si="26"/>
        <v>54</v>
      </c>
      <c r="BT13" s="4">
        <f t="shared" si="27"/>
        <v>1.2934782608695652</v>
      </c>
      <c r="BU13" s="5"/>
      <c r="BV13" s="4">
        <f t="shared" si="28"/>
        <v>2.2572221651074331</v>
      </c>
      <c r="BW13" s="4">
        <f t="shared" si="1"/>
        <v>19</v>
      </c>
      <c r="BX13" s="4">
        <f t="shared" si="2"/>
        <v>1.3333333333333333</v>
      </c>
      <c r="BY13" s="4">
        <f t="shared" si="29"/>
        <v>32</v>
      </c>
      <c r="BZ13" s="4">
        <f t="shared" si="30"/>
        <v>1.1474654377880185</v>
      </c>
      <c r="CA13" s="4">
        <f t="shared" si="31"/>
        <v>2</v>
      </c>
      <c r="CB13" s="5"/>
      <c r="CC13" s="4">
        <f t="shared" si="3"/>
        <v>0.35068680823448828</v>
      </c>
      <c r="CD13" s="4">
        <f t="shared" si="4"/>
        <v>11</v>
      </c>
      <c r="CE13" s="4">
        <f t="shared" si="5"/>
        <v>1.046218487394958</v>
      </c>
      <c r="CF13" s="4">
        <f t="shared" si="32"/>
        <v>0</v>
      </c>
      <c r="CG13" s="4">
        <f t="shared" si="33"/>
        <v>5.9782608695652106E-2</v>
      </c>
      <c r="CH13" s="5"/>
      <c r="CI13" s="4">
        <f t="shared" si="34"/>
        <v>1.2632993259245762</v>
      </c>
      <c r="CJ13" s="4">
        <f t="shared" si="35"/>
        <v>21</v>
      </c>
      <c r="CK13" s="4">
        <f t="shared" si="36"/>
        <v>1.096774193548387</v>
      </c>
      <c r="CL13" s="4">
        <f t="shared" si="37"/>
        <v>0.11413043478260865</v>
      </c>
      <c r="CM13" s="5"/>
      <c r="CN13" s="4">
        <f t="shared" si="38"/>
        <v>0.23723811614350868</v>
      </c>
      <c r="CO13" s="4">
        <f t="shared" si="39"/>
        <v>32</v>
      </c>
      <c r="CP13" s="4">
        <f t="shared" si="40"/>
        <v>1.1474654377880185</v>
      </c>
      <c r="CQ13" s="4">
        <f t="shared" si="41"/>
        <v>0.87148594377510036</v>
      </c>
      <c r="CR13" s="4">
        <f t="shared" si="42"/>
        <v>11</v>
      </c>
      <c r="CS13" s="4">
        <f t="shared" si="43"/>
        <v>0.83823529411764708</v>
      </c>
      <c r="CT13" s="4">
        <f t="shared" si="44"/>
        <v>1.1929824561403508</v>
      </c>
      <c r="CU13" s="5"/>
      <c r="CV13" s="4">
        <f t="shared" si="45"/>
        <v>0.53549913416745931</v>
      </c>
      <c r="CW13" s="4">
        <f t="shared" si="46"/>
        <v>0</v>
      </c>
      <c r="CX13" s="4">
        <f t="shared" si="47"/>
        <v>8</v>
      </c>
      <c r="CY13" s="4">
        <f t="shared" si="48"/>
        <v>1.1176470588235294</v>
      </c>
      <c r="CZ13" s="4">
        <f t="shared" si="49"/>
        <v>0.89473684210526316</v>
      </c>
    </row>
    <row r="14" spans="1:104" x14ac:dyDescent="0.35">
      <c r="A14">
        <v>7</v>
      </c>
      <c r="B14">
        <v>278</v>
      </c>
      <c r="C14">
        <v>1368</v>
      </c>
      <c r="E14">
        <v>62.580500000000001</v>
      </c>
      <c r="F14">
        <v>452</v>
      </c>
      <c r="G14">
        <v>15</v>
      </c>
      <c r="H14">
        <v>739</v>
      </c>
      <c r="I14">
        <v>3875</v>
      </c>
      <c r="J14">
        <f t="shared" si="6"/>
        <v>3136</v>
      </c>
      <c r="K14">
        <f t="shared" si="7"/>
        <v>5.2435723951285524</v>
      </c>
      <c r="L14">
        <f t="shared" si="8"/>
        <v>224</v>
      </c>
      <c r="N14">
        <v>41.218800000000002</v>
      </c>
      <c r="O14">
        <v>106</v>
      </c>
      <c r="P14">
        <v>697</v>
      </c>
      <c r="Q14">
        <v>8</v>
      </c>
      <c r="R14">
        <v>739</v>
      </c>
      <c r="S14">
        <v>1614</v>
      </c>
      <c r="T14">
        <f t="shared" si="9"/>
        <v>875</v>
      </c>
      <c r="U14">
        <f t="shared" si="10"/>
        <v>2.1840324763193504</v>
      </c>
      <c r="V14">
        <f t="shared" si="11"/>
        <v>125</v>
      </c>
      <c r="W14">
        <v>2729</v>
      </c>
      <c r="X14">
        <v>3604</v>
      </c>
      <c r="Z14">
        <v>447.58089999999999</v>
      </c>
      <c r="AA14">
        <v>137</v>
      </c>
      <c r="AB14">
        <v>579</v>
      </c>
      <c r="AC14">
        <v>7</v>
      </c>
      <c r="AD14">
        <v>739</v>
      </c>
      <c r="AE14">
        <v>1632</v>
      </c>
      <c r="AF14">
        <f t="shared" si="12"/>
        <v>893</v>
      </c>
      <c r="AG14">
        <f t="shared" si="13"/>
        <v>2.2083897158322059</v>
      </c>
      <c r="AH14">
        <f t="shared" si="14"/>
        <v>148.83333333333334</v>
      </c>
      <c r="AI14">
        <v>8077</v>
      </c>
      <c r="AJ14">
        <v>8970</v>
      </c>
      <c r="AL14">
        <f>391.344+40.2263</f>
        <v>431.57029999999997</v>
      </c>
      <c r="AM14">
        <v>106</v>
      </c>
      <c r="AN14">
        <v>666</v>
      </c>
      <c r="AO14">
        <v>726</v>
      </c>
      <c r="AP14">
        <f t="shared" si="15"/>
        <v>1.0900900900900901</v>
      </c>
      <c r="AQ14">
        <v>7</v>
      </c>
      <c r="AR14">
        <v>739</v>
      </c>
      <c r="AS14">
        <v>1771</v>
      </c>
      <c r="AT14">
        <f t="shared" si="16"/>
        <v>1032</v>
      </c>
      <c r="AU14">
        <f t="shared" si="17"/>
        <v>2.3964817320703653</v>
      </c>
      <c r="AV14">
        <f t="shared" si="18"/>
        <v>172</v>
      </c>
      <c r="AW14">
        <v>8077</v>
      </c>
      <c r="AX14">
        <v>9109</v>
      </c>
      <c r="AZ14">
        <f>2297.9609+442.7827</f>
        <v>2740.7435999999998</v>
      </c>
      <c r="BA14">
        <v>134</v>
      </c>
      <c r="BB14">
        <v>174</v>
      </c>
      <c r="BC14">
        <f t="shared" si="19"/>
        <v>1.2985074626865671</v>
      </c>
      <c r="BD14">
        <v>579</v>
      </c>
      <c r="BE14">
        <v>12</v>
      </c>
      <c r="BF14">
        <v>739</v>
      </c>
      <c r="BG14">
        <v>1812</v>
      </c>
      <c r="BH14">
        <f t="shared" si="20"/>
        <v>1073</v>
      </c>
      <c r="BI14">
        <f t="shared" si="21"/>
        <v>2.4519621109607579</v>
      </c>
      <c r="BJ14">
        <f t="shared" si="22"/>
        <v>97.545454545454547</v>
      </c>
      <c r="BK14">
        <v>8078</v>
      </c>
      <c r="BL14">
        <v>9151</v>
      </c>
      <c r="BO14">
        <f t="shared" si="0"/>
        <v>245</v>
      </c>
      <c r="BP14">
        <f t="shared" si="23"/>
        <v>1.5420353982300885</v>
      </c>
      <c r="BQ14">
        <f t="shared" si="24"/>
        <v>127</v>
      </c>
      <c r="BR14">
        <f t="shared" si="25"/>
        <v>1.2809734513274336</v>
      </c>
      <c r="BS14">
        <f t="shared" si="26"/>
        <v>214</v>
      </c>
      <c r="BT14">
        <f t="shared" si="27"/>
        <v>1.4734513274336283</v>
      </c>
      <c r="BV14">
        <f t="shared" si="28"/>
        <v>10.858659155530971</v>
      </c>
      <c r="BW14">
        <f t="shared" si="1"/>
        <v>31</v>
      </c>
      <c r="BX14">
        <f t="shared" si="2"/>
        <v>1.2924528301886793</v>
      </c>
      <c r="BY14">
        <f t="shared" si="29"/>
        <v>118</v>
      </c>
      <c r="BZ14">
        <f t="shared" si="30"/>
        <v>1.2037996545768566</v>
      </c>
      <c r="CA14">
        <f t="shared" si="31"/>
        <v>-1</v>
      </c>
      <c r="CC14">
        <f t="shared" si="3"/>
        <v>9.5508889281769399E-2</v>
      </c>
      <c r="CD14">
        <f t="shared" si="4"/>
        <v>31</v>
      </c>
      <c r="CE14">
        <f t="shared" si="5"/>
        <v>1.0465465465465464</v>
      </c>
      <c r="CF14">
        <f t="shared" si="32"/>
        <v>0</v>
      </c>
      <c r="CG14">
        <f t="shared" si="33"/>
        <v>6.8584070796460228E-2</v>
      </c>
      <c r="CI14">
        <f t="shared" si="34"/>
        <v>0.9642285897365146</v>
      </c>
      <c r="CJ14">
        <f t="shared" si="35"/>
        <v>87</v>
      </c>
      <c r="CK14">
        <f t="shared" si="36"/>
        <v>1.150259067357513</v>
      </c>
      <c r="CL14">
        <f t="shared" si="37"/>
        <v>0.19247787610619471</v>
      </c>
      <c r="CN14">
        <f t="shared" si="38"/>
        <v>1.5039276202268612E-2</v>
      </c>
      <c r="CO14">
        <f t="shared" si="39"/>
        <v>118</v>
      </c>
      <c r="CP14">
        <f t="shared" si="40"/>
        <v>1.2037996545768566</v>
      </c>
      <c r="CQ14">
        <f t="shared" si="41"/>
        <v>0.83070301291248205</v>
      </c>
      <c r="CR14">
        <f t="shared" si="42"/>
        <v>28</v>
      </c>
      <c r="CS14">
        <f t="shared" si="43"/>
        <v>0.79104477611940294</v>
      </c>
      <c r="CT14">
        <f t="shared" si="44"/>
        <v>1.2641509433962264</v>
      </c>
      <c r="CV14">
        <f t="shared" si="45"/>
        <v>0.1633063742263231</v>
      </c>
      <c r="CW14">
        <f t="shared" si="46"/>
        <v>0</v>
      </c>
      <c r="CX14">
        <f t="shared" si="47"/>
        <v>3</v>
      </c>
      <c r="CY14">
        <f t="shared" si="48"/>
        <v>1.0223880597014925</v>
      </c>
      <c r="CZ14">
        <f t="shared" si="49"/>
        <v>0.97810218978102192</v>
      </c>
    </row>
    <row r="15" spans="1:104" x14ac:dyDescent="0.35">
      <c r="A15">
        <v>7</v>
      </c>
      <c r="B15">
        <v>280</v>
      </c>
      <c r="C15">
        <v>1709</v>
      </c>
      <c r="E15">
        <v>33.944899999999997</v>
      </c>
      <c r="F15">
        <v>528</v>
      </c>
      <c r="G15">
        <v>12</v>
      </c>
      <c r="H15">
        <v>888</v>
      </c>
      <c r="I15">
        <v>3475</v>
      </c>
      <c r="J15">
        <f t="shared" si="6"/>
        <v>2587</v>
      </c>
      <c r="K15">
        <f t="shared" si="7"/>
        <v>3.9132882882882885</v>
      </c>
      <c r="L15">
        <f t="shared" si="8"/>
        <v>235.18181818181819</v>
      </c>
      <c r="N15">
        <v>17.6145</v>
      </c>
      <c r="O15">
        <v>100</v>
      </c>
      <c r="P15">
        <v>950</v>
      </c>
      <c r="Q15">
        <v>5</v>
      </c>
      <c r="R15">
        <v>888</v>
      </c>
      <c r="S15">
        <v>1438</v>
      </c>
      <c r="T15">
        <f t="shared" si="9"/>
        <v>550</v>
      </c>
      <c r="U15">
        <f t="shared" si="10"/>
        <v>1.6193693693693694</v>
      </c>
      <c r="V15">
        <f t="shared" si="11"/>
        <v>137.5</v>
      </c>
      <c r="W15">
        <v>3278</v>
      </c>
      <c r="X15">
        <v>3828</v>
      </c>
      <c r="Z15">
        <v>9.6229999999999993</v>
      </c>
      <c r="AA15">
        <v>171</v>
      </c>
      <c r="AB15">
        <v>593</v>
      </c>
      <c r="AC15">
        <v>1</v>
      </c>
      <c r="AD15">
        <v>888</v>
      </c>
      <c r="AE15">
        <v>888</v>
      </c>
      <c r="AF15">
        <f t="shared" si="12"/>
        <v>0</v>
      </c>
      <c r="AG15">
        <f t="shared" si="13"/>
        <v>1</v>
      </c>
      <c r="AH15" t="e">
        <f t="shared" si="14"/>
        <v>#DIV/0!</v>
      </c>
      <c r="AI15">
        <v>9767</v>
      </c>
      <c r="AJ15">
        <v>9767</v>
      </c>
      <c r="AL15">
        <f>254.4128+22.6337</f>
        <v>277.04649999999998</v>
      </c>
      <c r="AM15">
        <v>100</v>
      </c>
      <c r="AN15">
        <v>926</v>
      </c>
      <c r="AO15">
        <v>973</v>
      </c>
      <c r="AP15">
        <f t="shared" si="15"/>
        <v>1.050755939524838</v>
      </c>
      <c r="AQ15">
        <v>6</v>
      </c>
      <c r="AR15">
        <v>888</v>
      </c>
      <c r="AS15">
        <v>1836</v>
      </c>
      <c r="AT15">
        <f t="shared" si="16"/>
        <v>948</v>
      </c>
      <c r="AU15">
        <f t="shared" si="17"/>
        <v>2.0675675675675675</v>
      </c>
      <c r="AV15">
        <f t="shared" si="18"/>
        <v>189.6</v>
      </c>
      <c r="AW15">
        <v>9767</v>
      </c>
      <c r="AX15">
        <v>10715</v>
      </c>
      <c r="AZ15">
        <f>9.7244+10.1406</f>
        <v>19.864999999999998</v>
      </c>
      <c r="BA15">
        <v>171</v>
      </c>
      <c r="BB15">
        <v>235</v>
      </c>
      <c r="BC15">
        <f t="shared" si="19"/>
        <v>1.3742690058479532</v>
      </c>
      <c r="BD15">
        <v>593</v>
      </c>
      <c r="BE15">
        <v>1</v>
      </c>
      <c r="BF15">
        <v>888</v>
      </c>
      <c r="BG15">
        <v>888</v>
      </c>
      <c r="BH15">
        <f t="shared" si="20"/>
        <v>0</v>
      </c>
      <c r="BI15">
        <f t="shared" si="21"/>
        <v>1</v>
      </c>
      <c r="BJ15" t="e">
        <f t="shared" si="22"/>
        <v>#DIV/0!</v>
      </c>
      <c r="BK15">
        <v>9768</v>
      </c>
      <c r="BL15">
        <v>9768</v>
      </c>
      <c r="BO15">
        <f t="shared" si="0"/>
        <v>422</v>
      </c>
      <c r="BP15">
        <f t="shared" si="23"/>
        <v>1.7992424242424243</v>
      </c>
      <c r="BQ15">
        <f t="shared" si="24"/>
        <v>65</v>
      </c>
      <c r="BR15">
        <f t="shared" si="25"/>
        <v>1.1231060606060606</v>
      </c>
      <c r="BS15">
        <f t="shared" si="26"/>
        <v>398</v>
      </c>
      <c r="BT15">
        <f t="shared" si="27"/>
        <v>1.7537878787878789</v>
      </c>
      <c r="BV15">
        <f t="shared" si="28"/>
        <v>0.54631127764058018</v>
      </c>
      <c r="BW15">
        <f t="shared" si="1"/>
        <v>71</v>
      </c>
      <c r="BX15">
        <f t="shared" si="2"/>
        <v>1.71</v>
      </c>
      <c r="BY15">
        <f t="shared" si="29"/>
        <v>357</v>
      </c>
      <c r="BZ15">
        <f t="shared" si="30"/>
        <v>1.6020236087689714</v>
      </c>
      <c r="CA15">
        <f t="shared" si="31"/>
        <v>-4</v>
      </c>
      <c r="CC15">
        <f t="shared" si="3"/>
        <v>6.3579579601258276E-2</v>
      </c>
      <c r="CD15">
        <f t="shared" si="4"/>
        <v>24</v>
      </c>
      <c r="CE15">
        <f t="shared" si="5"/>
        <v>1.0259179265658747</v>
      </c>
      <c r="CF15">
        <f t="shared" si="32"/>
        <v>0</v>
      </c>
      <c r="CG15">
        <f t="shared" si="33"/>
        <v>4.5454545454545414E-2</v>
      </c>
      <c r="CI15">
        <f t="shared" si="34"/>
        <v>28.790034292840069</v>
      </c>
      <c r="CJ15">
        <f t="shared" si="35"/>
        <v>333</v>
      </c>
      <c r="CK15">
        <f t="shared" si="36"/>
        <v>1.5615514333895446</v>
      </c>
      <c r="CL15">
        <f t="shared" si="37"/>
        <v>0.63068181818181834</v>
      </c>
      <c r="CN15">
        <f t="shared" si="38"/>
        <v>0.88671029448779271</v>
      </c>
      <c r="CO15">
        <f t="shared" si="39"/>
        <v>357</v>
      </c>
      <c r="CP15">
        <f t="shared" si="40"/>
        <v>1.6020236087689714</v>
      </c>
      <c r="CQ15">
        <f t="shared" si="41"/>
        <v>0.62421052631578944</v>
      </c>
      <c r="CR15">
        <f t="shared" si="42"/>
        <v>71</v>
      </c>
      <c r="CS15">
        <f t="shared" si="43"/>
        <v>0.58479532163742687</v>
      </c>
      <c r="CT15">
        <f t="shared" si="44"/>
        <v>1.71</v>
      </c>
      <c r="CV15">
        <f t="shared" si="45"/>
        <v>0.48441983387868109</v>
      </c>
      <c r="CW15">
        <f t="shared" si="46"/>
        <v>0</v>
      </c>
      <c r="CX15">
        <f t="shared" si="47"/>
        <v>0</v>
      </c>
      <c r="CY15">
        <f t="shared" si="48"/>
        <v>1</v>
      </c>
      <c r="CZ15">
        <f t="shared" si="49"/>
        <v>1</v>
      </c>
    </row>
    <row r="16" spans="1:104" s="4" customFormat="1" x14ac:dyDescent="0.35">
      <c r="A16" s="4">
        <v>7</v>
      </c>
      <c r="B16" s="4">
        <v>281</v>
      </c>
      <c r="C16" s="4">
        <v>1849</v>
      </c>
      <c r="D16" s="5"/>
      <c r="E16" s="4">
        <v>47.269599999999997</v>
      </c>
      <c r="F16" s="4">
        <v>492</v>
      </c>
      <c r="G16" s="4">
        <v>11</v>
      </c>
      <c r="H16" s="4">
        <v>1028</v>
      </c>
      <c r="I16" s="4">
        <v>4230</v>
      </c>
      <c r="J16" s="4">
        <f t="shared" si="6"/>
        <v>3202</v>
      </c>
      <c r="K16" s="4">
        <f t="shared" si="7"/>
        <v>4.1147859922178984</v>
      </c>
      <c r="L16" s="4">
        <f t="shared" si="8"/>
        <v>320.2</v>
      </c>
      <c r="M16" s="5"/>
      <c r="N16" s="4">
        <v>38.332000000000001</v>
      </c>
      <c r="O16" s="4">
        <v>98</v>
      </c>
      <c r="P16" s="4">
        <v>1182</v>
      </c>
      <c r="Q16" s="4">
        <v>7</v>
      </c>
      <c r="R16" s="4">
        <v>1028</v>
      </c>
      <c r="S16" s="4">
        <v>1470</v>
      </c>
      <c r="T16" s="4">
        <f t="shared" si="9"/>
        <v>442</v>
      </c>
      <c r="U16" s="4">
        <f t="shared" si="10"/>
        <v>1.4299610894941635</v>
      </c>
      <c r="V16" s="4">
        <f t="shared" si="11"/>
        <v>73.666666666666671</v>
      </c>
      <c r="W16" s="4">
        <v>3514</v>
      </c>
      <c r="X16" s="4">
        <v>3956</v>
      </c>
      <c r="Y16" s="5"/>
      <c r="Z16" s="4">
        <v>175.66249999999999</v>
      </c>
      <c r="AA16" s="4">
        <v>154</v>
      </c>
      <c r="AB16" s="4">
        <v>644</v>
      </c>
      <c r="AC16" s="4">
        <v>8</v>
      </c>
      <c r="AD16" s="4">
        <v>1028</v>
      </c>
      <c r="AE16" s="4">
        <v>1621</v>
      </c>
      <c r="AF16" s="4">
        <f t="shared" si="12"/>
        <v>593</v>
      </c>
      <c r="AG16" s="4">
        <f t="shared" si="13"/>
        <v>1.5768482490272373</v>
      </c>
      <c r="AH16" s="4">
        <f t="shared" si="14"/>
        <v>84.714285714285708</v>
      </c>
      <c r="AI16" s="4">
        <v>10335</v>
      </c>
      <c r="AJ16" s="4">
        <v>10928</v>
      </c>
      <c r="AK16" s="5"/>
      <c r="AL16" s="4">
        <f>672.5956+33.5261</f>
        <v>706.12170000000003</v>
      </c>
      <c r="AM16" s="4">
        <v>98</v>
      </c>
      <c r="AN16" s="4">
        <v>1165</v>
      </c>
      <c r="AO16" s="4">
        <v>1202</v>
      </c>
      <c r="AP16" s="4">
        <f t="shared" si="15"/>
        <v>1.0317596566523606</v>
      </c>
      <c r="AQ16" s="4">
        <v>10</v>
      </c>
      <c r="AR16" s="4">
        <v>1028</v>
      </c>
      <c r="AS16" s="4">
        <v>2185</v>
      </c>
      <c r="AT16" s="4">
        <f t="shared" si="16"/>
        <v>1157</v>
      </c>
      <c r="AU16" s="4">
        <f t="shared" si="17"/>
        <v>2.1254863813229572</v>
      </c>
      <c r="AV16" s="4">
        <f t="shared" si="18"/>
        <v>128.55555555555554</v>
      </c>
      <c r="AW16" s="4">
        <v>10335</v>
      </c>
      <c r="AX16" s="4">
        <v>11492</v>
      </c>
      <c r="AY16" s="5"/>
      <c r="AZ16" s="4">
        <f>260.7262+178.8585</f>
        <v>439.5847</v>
      </c>
      <c r="BA16" s="4">
        <v>152</v>
      </c>
      <c r="BB16" s="4">
        <v>223</v>
      </c>
      <c r="BC16" s="4">
        <f t="shared" si="19"/>
        <v>1.4671052631578947</v>
      </c>
      <c r="BD16" s="4">
        <v>644</v>
      </c>
      <c r="BE16" s="4">
        <v>9</v>
      </c>
      <c r="BF16" s="4">
        <v>1028</v>
      </c>
      <c r="BG16" s="4">
        <v>1783</v>
      </c>
      <c r="BH16" s="4">
        <f t="shared" si="20"/>
        <v>755</v>
      </c>
      <c r="BI16" s="4">
        <f>BG16/BF16</f>
        <v>1.7344357976653697</v>
      </c>
      <c r="BJ16" s="4">
        <f t="shared" si="22"/>
        <v>94.375</v>
      </c>
      <c r="BK16" s="4">
        <v>10336</v>
      </c>
      <c r="BL16" s="4">
        <v>11091</v>
      </c>
      <c r="BM16" s="5"/>
      <c r="BN16" s="5"/>
      <c r="BO16" s="4">
        <f t="shared" si="0"/>
        <v>690</v>
      </c>
      <c r="BP16" s="4">
        <f t="shared" si="23"/>
        <v>2.4024390243902438</v>
      </c>
      <c r="BQ16" s="4">
        <f t="shared" si="24"/>
        <v>152</v>
      </c>
      <c r="BR16" s="4">
        <f t="shared" si="25"/>
        <v>1.3089430894308942</v>
      </c>
      <c r="BS16" s="4">
        <f t="shared" si="26"/>
        <v>673</v>
      </c>
      <c r="BT16" s="4">
        <f t="shared" si="27"/>
        <v>2.3678861788617884</v>
      </c>
      <c r="BU16" s="5"/>
      <c r="BV16" s="4">
        <f>Z16/N16</f>
        <v>4.5826593968485856</v>
      </c>
      <c r="BW16" s="4">
        <f t="shared" si="1"/>
        <v>56</v>
      </c>
      <c r="BX16" s="4">
        <f t="shared" si="2"/>
        <v>1.5714285714285714</v>
      </c>
      <c r="BY16" s="4">
        <f t="shared" si="29"/>
        <v>538</v>
      </c>
      <c r="BZ16" s="4">
        <f t="shared" si="30"/>
        <v>1.8354037267080745</v>
      </c>
      <c r="CA16" s="4">
        <f t="shared" si="31"/>
        <v>1</v>
      </c>
      <c r="CB16" s="5"/>
      <c r="CC16" s="4">
        <f t="shared" si="3"/>
        <v>5.428525989216873E-2</v>
      </c>
      <c r="CD16" s="4">
        <f t="shared" si="4"/>
        <v>17</v>
      </c>
      <c r="CE16" s="4">
        <f t="shared" si="5"/>
        <v>1.0145922746781115</v>
      </c>
      <c r="CF16" s="4">
        <f t="shared" si="32"/>
        <v>0</v>
      </c>
      <c r="CG16" s="4">
        <f t="shared" si="33"/>
        <v>3.4552845528455389E-2</v>
      </c>
      <c r="CH16" s="5"/>
      <c r="CI16" s="4">
        <f t="shared" si="34"/>
        <v>4.0197634668754008</v>
      </c>
      <c r="CJ16" s="4">
        <f t="shared" si="35"/>
        <v>521</v>
      </c>
      <c r="CK16" s="4">
        <f t="shared" si="36"/>
        <v>1.8090062111801242</v>
      </c>
      <c r="CL16" s="4">
        <f t="shared" si="37"/>
        <v>1.0589430894308942</v>
      </c>
      <c r="CM16" s="5"/>
      <c r="CN16" s="4">
        <f t="shared" si="38"/>
        <v>8.7200487187110931E-2</v>
      </c>
      <c r="CO16" s="4">
        <f t="shared" si="39"/>
        <v>538</v>
      </c>
      <c r="CP16" s="4">
        <f t="shared" si="40"/>
        <v>1.8354037267080745</v>
      </c>
      <c r="CQ16" s="4">
        <f t="shared" si="41"/>
        <v>0.54483925549915402</v>
      </c>
      <c r="CR16" s="4">
        <f t="shared" si="42"/>
        <v>54</v>
      </c>
      <c r="CS16" s="4">
        <f t="shared" si="43"/>
        <v>0.64473684210526316</v>
      </c>
      <c r="CT16" s="4">
        <f t="shared" si="44"/>
        <v>1.5510204081632653</v>
      </c>
      <c r="CU16" s="5"/>
      <c r="CV16" s="4">
        <f t="shared" si="45"/>
        <v>0.39961013201778861</v>
      </c>
      <c r="CW16" s="4">
        <f t="shared" si="46"/>
        <v>0</v>
      </c>
      <c r="CX16" s="4">
        <f t="shared" si="47"/>
        <v>2</v>
      </c>
      <c r="CY16" s="4">
        <f t="shared" si="48"/>
        <v>1.013157894736842</v>
      </c>
      <c r="CZ16" s="4">
        <f t="shared" si="49"/>
        <v>0.98701298701298701</v>
      </c>
    </row>
    <row r="18" spans="1:104" x14ac:dyDescent="0.35">
      <c r="A18" s="1" t="s">
        <v>22</v>
      </c>
      <c r="B18" s="1" t="s">
        <v>23</v>
      </c>
    </row>
    <row r="19" spans="1:104" x14ac:dyDescent="0.35">
      <c r="A19">
        <f>AVERAGE(A2,A3,A4)</f>
        <v>3</v>
      </c>
      <c r="B19">
        <f>AVERAGE(B2,B3,B4)</f>
        <v>19.666666666666668</v>
      </c>
      <c r="C19">
        <f>AVERAGE(C2,C3,C4)</f>
        <v>32.333333333333336</v>
      </c>
      <c r="E19">
        <f>AVERAGE(E2,E3,E4)</f>
        <v>3.2299999999999995E-2</v>
      </c>
      <c r="F19">
        <f>AVERAGE(F2,F3,F4)</f>
        <v>12.666666666666666</v>
      </c>
      <c r="G19">
        <f>AVERAGE(G2,G3,G4)</f>
        <v>3.6666666666666665</v>
      </c>
      <c r="H19">
        <f>AVERAGE(H2,H3,H4)</f>
        <v>15.333333333333334</v>
      </c>
      <c r="I19">
        <f>AVERAGE(I2,I3,I4)</f>
        <v>22</v>
      </c>
      <c r="J19">
        <f>AVERAGE(J2,J3,J4)</f>
        <v>6.666666666666667</v>
      </c>
      <c r="K19">
        <f>AVERAGE(K2,K3,K4)</f>
        <v>1.4462184873949582</v>
      </c>
      <c r="L19">
        <f>AVERAGE(L2,L3,L4)</f>
        <v>2.3888888888888888</v>
      </c>
      <c r="N19">
        <f>AVERAGE(N2,N3,N4)</f>
        <v>1.3666666666666667E-2</v>
      </c>
      <c r="O19">
        <f>AVERAGE(O2,O3,O4)</f>
        <v>6</v>
      </c>
      <c r="P19">
        <f>AVERAGE(P2,P3,P4)</f>
        <v>14.333333333333334</v>
      </c>
      <c r="Q19">
        <f>AVERAGE(Q2,Q3,Q4)</f>
        <v>1</v>
      </c>
      <c r="R19">
        <f>AVERAGE(R2,R3,R4)</f>
        <v>15.333333333333334</v>
      </c>
      <c r="S19">
        <f>AVERAGE(S2,S3,S4)</f>
        <v>15.333333333333334</v>
      </c>
      <c r="T19">
        <f>AVERAGE(T2,T3,T4)</f>
        <v>0</v>
      </c>
      <c r="U19">
        <f>AVERAGE(U2,U3,U4)</f>
        <v>1</v>
      </c>
      <c r="V19" t="e">
        <f>AVERAGE(V2,V3,V4)</f>
        <v>#DIV/0!</v>
      </c>
      <c r="W19">
        <f>AVERAGE(W2,W3,W4)</f>
        <v>66</v>
      </c>
      <c r="X19">
        <f>AVERAGE(X2,X3,X4)</f>
        <v>66</v>
      </c>
      <c r="Z19">
        <f>AVERAGE(Z2,Z3,Z4)</f>
        <v>2.1299999999999999E-2</v>
      </c>
      <c r="AA19">
        <f>AVERAGE(AA2,AA3,AA4)</f>
        <v>8.6666666666666661</v>
      </c>
      <c r="AB19">
        <f>AVERAGE(AB2,AB3,AB4)</f>
        <v>13</v>
      </c>
      <c r="AC19">
        <f>AVERAGE(AC2,AC3,AC4)</f>
        <v>1</v>
      </c>
      <c r="AD19">
        <f>AVERAGE(AD2,AD3,AD4)</f>
        <v>15.333333333333334</v>
      </c>
      <c r="AE19">
        <f>AVERAGE(AE2,AE3,AE4)</f>
        <v>15.333333333333334</v>
      </c>
      <c r="AF19">
        <f>AVERAGE(AF2,AF3,AF4)</f>
        <v>0</v>
      </c>
      <c r="AG19">
        <f>AVERAGE(AG2,AG3,AG4)</f>
        <v>1</v>
      </c>
      <c r="AH19" t="e">
        <f>AVERAGE(AH2,AH3,AH4)</f>
        <v>#DIV/0!</v>
      </c>
      <c r="AI19">
        <f>AVERAGE(AI2,AI3,AI4)</f>
        <v>199.66666666666666</v>
      </c>
      <c r="AJ19">
        <f>AVERAGE(AJ2,AJ3,AJ4)</f>
        <v>199.66666666666666</v>
      </c>
      <c r="AL19">
        <f>AVERAGE(AL2,AL3,AL4)</f>
        <v>3.3266666666666667E-2</v>
      </c>
      <c r="AM19">
        <f>AVERAGE(AM2,AM3,AM4)</f>
        <v>6</v>
      </c>
      <c r="AN19">
        <f>AVERAGE(AN2,AN3,AN4)</f>
        <v>14.333333333333334</v>
      </c>
      <c r="AO19">
        <f>AVERAGE(AO2,AO3,AO4)</f>
        <v>15.666666666666666</v>
      </c>
      <c r="AP19">
        <f>AVERAGE(AP2,AP3,AP4)</f>
        <v>1.1025641025641024</v>
      </c>
      <c r="AQ19">
        <f>AVERAGE(AQ2,AQ3,AQ4)</f>
        <v>1</v>
      </c>
      <c r="AR19">
        <f>AVERAGE(AR2,AR3,AR4)</f>
        <v>15.333333333333334</v>
      </c>
      <c r="AS19">
        <f>AVERAGE(AS2,AS3,AS4)</f>
        <v>15.333333333333334</v>
      </c>
      <c r="AT19">
        <f>AVERAGE(AT2,AT3,AT4)</f>
        <v>0</v>
      </c>
      <c r="AU19">
        <f>AVERAGE(AU2,AU3,AU4)</f>
        <v>1</v>
      </c>
      <c r="AV19" t="e">
        <f>AVERAGE(AV2,AV3,AV4)</f>
        <v>#DIV/0!</v>
      </c>
      <c r="AW19">
        <f>AVERAGE(AW2,AW3,AW4)</f>
        <v>199.66666666666666</v>
      </c>
      <c r="AX19">
        <f>AVERAGE(AX2,AX3,AX4)</f>
        <v>199.66666666666666</v>
      </c>
      <c r="AZ19">
        <f>AVERAGE(AZ2,AZ3,AZ4)</f>
        <v>3.6666666666666667E-2</v>
      </c>
      <c r="BA19">
        <f>AVERAGE(BA2,BA3,BA4)</f>
        <v>6.666666666666667</v>
      </c>
      <c r="BB19">
        <f>AVERAGE(BB2,BB3,BB4)</f>
        <v>15.666666666666666</v>
      </c>
      <c r="BC19">
        <f>AVERAGE(BC2,BC3,BC4)</f>
        <v>3</v>
      </c>
      <c r="BD19">
        <f>AVERAGE(BD2,BD3,BD4)</f>
        <v>13</v>
      </c>
      <c r="BE19">
        <f>AVERAGE(BE2,BE3,BE4)</f>
        <v>1</v>
      </c>
      <c r="BF19">
        <f>AVERAGE(BF2,BF3,BF4)</f>
        <v>15.333333333333334</v>
      </c>
      <c r="BG19">
        <f>AVERAGE(BG2,BG3,BG4)</f>
        <v>15.333333333333334</v>
      </c>
      <c r="BH19">
        <f>AVERAGE(BH2,BH3,BH4)</f>
        <v>0</v>
      </c>
      <c r="BI19">
        <f>AVERAGE(BI2,BI3,BI4)</f>
        <v>1</v>
      </c>
      <c r="BJ19" t="e">
        <f>AVERAGE(BJ2,BJ3,BJ4)</f>
        <v>#DIV/0!</v>
      </c>
      <c r="BK19">
        <f>AVERAGE(BK2,BK3,BK4)</f>
        <v>200.66666666666666</v>
      </c>
      <c r="BL19">
        <f>AVERAGE(BL2,BL3,BL4)</f>
        <v>200.66666666666666</v>
      </c>
      <c r="BO19">
        <f>AVERAGE(BO2,BO3,BO4)</f>
        <v>1.6666666666666667</v>
      </c>
      <c r="BP19">
        <f>AVERAGE(BP2,BP3,BP4)</f>
        <v>1.1230158730158728</v>
      </c>
      <c r="BQ19">
        <f>AVERAGE(BQ2,BQ3,BQ4)</f>
        <v>0.33333333333333331</v>
      </c>
      <c r="BR19">
        <f>AVERAGE(BR2,BR3,BR4)</f>
        <v>1.0277777777777777</v>
      </c>
      <c r="BS19">
        <f>AVERAGE(BS2,BS3,BS4)</f>
        <v>1.6666666666666667</v>
      </c>
      <c r="BT19">
        <f>AVERAGE(BT2,BT3,BT4)</f>
        <v>1.1230158730158728</v>
      </c>
      <c r="BV19">
        <f>AVERAGE(BV2,BV3,BV4)</f>
        <v>1.9168300825250084</v>
      </c>
      <c r="BW19">
        <f>AVERAGE(BW2,BW3,BW4)</f>
        <v>2.6666666666666665</v>
      </c>
      <c r="BX19">
        <f>AVERAGE(BX2,BX3,BX4)</f>
        <v>1.7619047619047619</v>
      </c>
      <c r="BY19">
        <f>AVERAGE(BY2,BY3,BY4)</f>
        <v>1.3333333333333333</v>
      </c>
      <c r="BZ19">
        <f>AVERAGE(BZ2,BZ3,BZ4)</f>
        <v>1.0952380952380951</v>
      </c>
      <c r="CC19">
        <f>AVERAGE(CC2,CC3,CC4)</f>
        <v>0.4368502376267247</v>
      </c>
      <c r="CD19">
        <f>AVERAGE(CD2,CD3,CD4)</f>
        <v>0</v>
      </c>
      <c r="CE19">
        <f>AVERAGE(CE2,CE3,CE4)</f>
        <v>1</v>
      </c>
      <c r="CF19">
        <f>AVERAGE(CF2,CF3,CF4)</f>
        <v>0</v>
      </c>
      <c r="CG19">
        <f>AVERAGE(CG2,CG3,CG4)</f>
        <v>0</v>
      </c>
      <c r="CI19">
        <f>AVERAGE(CI2,CI3,CI4)</f>
        <v>1.5949564143576629</v>
      </c>
      <c r="CJ19">
        <f>AVERAGE(CJ2,CJ3,CJ4)</f>
        <v>1.3333333333333333</v>
      </c>
      <c r="CK19">
        <f>AVERAGE(CK2,CK3,CK4)</f>
        <v>1.0952380952380951</v>
      </c>
      <c r="CL19">
        <f>AVERAGE(CL2,CL3,CL4)</f>
        <v>9.5238095238095274E-2</v>
      </c>
      <c r="CN19">
        <f>AVERAGE(CN2,CN3,CN4)</f>
        <v>0.41161692428450891</v>
      </c>
      <c r="CO19">
        <f>AVERAGE(CO2,CO3,CO4)</f>
        <v>1.3333333333333333</v>
      </c>
      <c r="CP19">
        <f>AVERAGE(CP2,CP3,CP4)</f>
        <v>1.0952380952380951</v>
      </c>
      <c r="CQ19">
        <f>AVERAGE(CQ2,CQ3,CQ4)</f>
        <v>0.92592592592592593</v>
      </c>
      <c r="CR19">
        <f>AVERAGE(CR2,CR3,CR4)</f>
        <v>0.66666666666666663</v>
      </c>
      <c r="CS19">
        <f>AVERAGE(CS2,CS3,CS4)</f>
        <v>0.92592592592592593</v>
      </c>
      <c r="CT19">
        <f>AVERAGE(CT2,CT3,CT4)</f>
        <v>1.0952380952380951</v>
      </c>
      <c r="CV19">
        <f>AVERAGE(CV2,CV3,CV4)</f>
        <v>0.64077339234208563</v>
      </c>
      <c r="CW19">
        <f>AVERAGE(CW2,CW3,CW4)</f>
        <v>0</v>
      </c>
      <c r="CX19">
        <f>AVERAGE(CX2,CX3,CX4)</f>
        <v>2</v>
      </c>
      <c r="CY19">
        <f>AVERAGE(CY2,CY3,CY4)</f>
        <v>1.6666666666666667</v>
      </c>
      <c r="CZ19">
        <f>AVERAGE(CZ2,CZ3,CZ4)</f>
        <v>0.77777777777777768</v>
      </c>
    </row>
    <row r="20" spans="1:104" x14ac:dyDescent="0.35">
      <c r="A20">
        <f>AVERAGE(A5,A6,A7)</f>
        <v>4</v>
      </c>
      <c r="B20">
        <f>AVERAGE(B5,B6,B7)</f>
        <v>42.333333333333336</v>
      </c>
      <c r="C20">
        <f>AVERAGE(C5,C6,C7)</f>
        <v>90</v>
      </c>
      <c r="E20">
        <f>AVERAGE(E5,E6,E7)</f>
        <v>7.7600000000000002E-2</v>
      </c>
      <c r="F20">
        <f>AVERAGE(F5,F6,F7)</f>
        <v>27.333333333333332</v>
      </c>
      <c r="G20">
        <f>AVERAGE(G5,G6,G7)</f>
        <v>3.6666666666666665</v>
      </c>
      <c r="H20">
        <f>AVERAGE(H5,H6,H7)</f>
        <v>41.333333333333336</v>
      </c>
      <c r="I20">
        <f>AVERAGE(I5,I6,I7)</f>
        <v>70</v>
      </c>
      <c r="J20">
        <f>AVERAGE(J5,J6,J7)</f>
        <v>28.666666666666668</v>
      </c>
      <c r="K20">
        <f>AVERAGE(K5,K6,K7)</f>
        <v>1.6940379403794037</v>
      </c>
      <c r="L20">
        <f>AVERAGE(L5,L6,L7)</f>
        <v>10.75</v>
      </c>
      <c r="N20">
        <f>AVERAGE(N5,N6,N7)</f>
        <v>5.1166666666666666E-2</v>
      </c>
      <c r="O20">
        <f>AVERAGE(O5,O6,O7)</f>
        <v>12.666666666666666</v>
      </c>
      <c r="P20">
        <f>AVERAGE(P5,P6,P7)</f>
        <v>39.333333333333336</v>
      </c>
      <c r="Q20">
        <f>AVERAGE(Q5,Q6,Q7)</f>
        <v>1.6666666666666667</v>
      </c>
      <c r="R20">
        <f>AVERAGE(R5,R6,R7)</f>
        <v>41.333333333333336</v>
      </c>
      <c r="S20">
        <f>AVERAGE(S5,S6,S7)</f>
        <v>42.333333333333336</v>
      </c>
      <c r="T20">
        <f>AVERAGE(T5,T6,T7)</f>
        <v>1</v>
      </c>
      <c r="U20">
        <f>AVERAGE(U5,U6,U7)</f>
        <v>1.0229448961156278</v>
      </c>
      <c r="V20" t="e">
        <f>AVERAGE(V5,V6,V7)</f>
        <v>#DIV/0!</v>
      </c>
      <c r="W20">
        <f>AVERAGE(W5,W6,W7)</f>
        <v>175.33333333333334</v>
      </c>
      <c r="X20">
        <f>AVERAGE(X5,X6,X7)</f>
        <v>176.33333333333334</v>
      </c>
      <c r="Z20">
        <f>AVERAGE(Z5,Z6,Z7)</f>
        <v>0.12503333333333333</v>
      </c>
      <c r="AA20">
        <f>AVERAGE(AA5,AA6,AA7)</f>
        <v>17.333333333333332</v>
      </c>
      <c r="AB20">
        <f>AVERAGE(AB5,AB6,AB7)</f>
        <v>30.666666666666668</v>
      </c>
      <c r="AC20">
        <f>AVERAGE(AC5,AC6,AC7)</f>
        <v>2.3333333333333335</v>
      </c>
      <c r="AD20">
        <f>AVERAGE(AD5,AD6,AD7)</f>
        <v>41.333333333333336</v>
      </c>
      <c r="AE20">
        <f>AVERAGE(AE5,AE6,AE7)</f>
        <v>47.333333333333336</v>
      </c>
      <c r="AF20">
        <f>AVERAGE(AF5,AF6,AF7)</f>
        <v>6</v>
      </c>
      <c r="AG20">
        <f>AVERAGE(AG5,AG6,AG7)</f>
        <v>1.1455379641515713</v>
      </c>
      <c r="AH20">
        <f>AVERAGE(AH5,AH6,AH7)</f>
        <v>3.5</v>
      </c>
      <c r="AI20">
        <f>AVERAGE(AI5,AI6,AI7)</f>
        <v>533.33333333333337</v>
      </c>
      <c r="AJ20">
        <f>AVERAGE(AJ5,AJ6,AJ7)</f>
        <v>539.33333333333337</v>
      </c>
      <c r="AL20">
        <f>AVERAGE(AL5,AL6,AL7)</f>
        <v>0.15246666666666667</v>
      </c>
      <c r="AM20">
        <f>AVERAGE(AM5,AM6,AM7)</f>
        <v>12.666666666666666</v>
      </c>
      <c r="AN20">
        <f>AVERAGE(AN5,AN6,AN7)</f>
        <v>34.333333333333336</v>
      </c>
      <c r="AO20">
        <f>AVERAGE(AO5,AO6,AO7)</f>
        <v>47.666666666666664</v>
      </c>
      <c r="AP20">
        <f>AVERAGE(AP5,AP6,AP7)</f>
        <v>1.4261250497809634</v>
      </c>
      <c r="AQ20">
        <f>AVERAGE(AQ5,AQ6,AQ7)</f>
        <v>1.3333333333333333</v>
      </c>
      <c r="AR20">
        <f>AVERAGE(AR5,AR6,AR7)</f>
        <v>41.333333333333336</v>
      </c>
      <c r="AS20">
        <f>AVERAGE(AS5,AS6,AS7)</f>
        <v>41.666666666666664</v>
      </c>
      <c r="AT20">
        <f>AVERAGE(AT5,AT6,AT7)</f>
        <v>0.33333333333333331</v>
      </c>
      <c r="AU20">
        <f>AVERAGE(AU5,AU6,AU7)</f>
        <v>1.0081300813008129</v>
      </c>
      <c r="AV20" t="e">
        <f>AVERAGE(AV5,AV6,AV7)</f>
        <v>#DIV/0!</v>
      </c>
      <c r="AW20">
        <f>AVERAGE(AW5,AW6,AW7)</f>
        <v>533.33333333333337</v>
      </c>
      <c r="AX20">
        <f>AVERAGE(AX5,AX6,AX7)</f>
        <v>533.66666666666663</v>
      </c>
      <c r="AZ20">
        <f>AVERAGE(AZ5,AZ6,AZ7)</f>
        <v>0.18466666666666667</v>
      </c>
      <c r="BA20">
        <f>AVERAGE(BA5,BA6,BA7)</f>
        <v>15.666666666666666</v>
      </c>
      <c r="BB20">
        <f>AVERAGE(BB5,BB6,BB7)</f>
        <v>32</v>
      </c>
      <c r="BC20">
        <f>AVERAGE(BC5,BC6,BC7)</f>
        <v>2.0917022792022792</v>
      </c>
      <c r="BD20">
        <f>AVERAGE(BD5,BD6,BD7)</f>
        <v>30.666666666666668</v>
      </c>
      <c r="BE20">
        <f>AVERAGE(BE5,BE6,BE7)</f>
        <v>1.3333333333333333</v>
      </c>
      <c r="BF20">
        <f>AVERAGE(BF5,BF6,BF7)</f>
        <v>41.333333333333336</v>
      </c>
      <c r="BG20">
        <f>AVERAGE(BG5,BG6,BG7)</f>
        <v>41.666666666666664</v>
      </c>
      <c r="BH20">
        <f>AVERAGE(BH5,BH6,BH7)</f>
        <v>0.33333333333333331</v>
      </c>
      <c r="BI20">
        <f>AVERAGE(BI5,BI6,BI7)</f>
        <v>1.0087719298245614</v>
      </c>
      <c r="BJ20" t="e">
        <f>AVERAGE(BJ5,BJ6,BJ7)</f>
        <v>#DIV/0!</v>
      </c>
      <c r="BK20">
        <f>AVERAGE(BK5,BK6,BK7)</f>
        <v>534.33333333333337</v>
      </c>
      <c r="BL20">
        <f>AVERAGE(BL5,BL6,BL7)</f>
        <v>534.66666666666663</v>
      </c>
      <c r="BO20">
        <f>AVERAGE(BO5,BO6,BO7)</f>
        <v>12</v>
      </c>
      <c r="BP20">
        <f>AVERAGE(BP5,BP6,BP7)</f>
        <v>1.4296296296296296</v>
      </c>
      <c r="BQ20">
        <f>AVERAGE(BQ5,BQ6,BQ7)</f>
        <v>3.3333333333333335</v>
      </c>
      <c r="BR20">
        <f>AVERAGE(BR5,BR6,BR7)</f>
        <v>1.1160493827160494</v>
      </c>
      <c r="BS20">
        <f>AVERAGE(BS5,BS6,BS7)</f>
        <v>7</v>
      </c>
      <c r="BT20">
        <f>AVERAGE(BT5,BT6,BT7)</f>
        <v>1.2427160493827161</v>
      </c>
      <c r="BV20">
        <f>AVERAGE(BV5,BV6,BV7)</f>
        <v>2.431499557405481</v>
      </c>
      <c r="BW20">
        <f>AVERAGE(BW5,BW6,BW7)</f>
        <v>4.666666666666667</v>
      </c>
      <c r="BX20">
        <f>AVERAGE(BX5,BX6,BX7)</f>
        <v>1.3675213675213673</v>
      </c>
      <c r="BY20">
        <f>AVERAGE(BY5,BY6,BY7)</f>
        <v>8.6666666666666661</v>
      </c>
      <c r="BZ20">
        <f>AVERAGE(BZ5,BZ6,BZ7)</f>
        <v>1.2844683393070488</v>
      </c>
      <c r="CC20">
        <f>AVERAGE(CC5,CC6,CC7)</f>
        <v>0.37222492616864483</v>
      </c>
      <c r="CD20">
        <f>AVERAGE(CD5,CD6,CD7)</f>
        <v>5</v>
      </c>
      <c r="CE20">
        <f>AVERAGE(CE5,CE6,CE7)</f>
        <v>1.1573078454798884</v>
      </c>
      <c r="CF20">
        <f>AVERAGE(CF5,CF6,CF7)</f>
        <v>0</v>
      </c>
      <c r="CG20">
        <f>AVERAGE(CG5,CG6,CG7)</f>
        <v>0.1869135802469136</v>
      </c>
      <c r="CI20">
        <f>AVERAGE(CI5,CI6,CI7)</f>
        <v>1.1983906631738304</v>
      </c>
      <c r="CJ20">
        <f>AVERAGE(CJ5,CJ6,CJ7)</f>
        <v>3.6666666666666665</v>
      </c>
      <c r="CK20">
        <f>AVERAGE(CK5,CK6,CK7)</f>
        <v>1.1100000000000001</v>
      </c>
      <c r="CL20">
        <f>AVERAGE(CL5,CL6,CL7)</f>
        <v>0.12666666666666671</v>
      </c>
      <c r="CN20">
        <f>AVERAGE(CN5,CN6,CN7)</f>
        <v>0.27966624979784505</v>
      </c>
      <c r="CO20">
        <f>AVERAGE(CO5,CO6,CO7)</f>
        <v>8.6666666666666661</v>
      </c>
      <c r="CP20">
        <f>AVERAGE(CP5,CP6,CP7)</f>
        <v>1.2844683393070488</v>
      </c>
      <c r="CQ20">
        <f>AVERAGE(CQ5,CQ6,CQ7)</f>
        <v>0.79122655122655117</v>
      </c>
      <c r="CR20">
        <f>AVERAGE(CR5,CR6,CR7)</f>
        <v>3</v>
      </c>
      <c r="CS20">
        <f>AVERAGE(CS5,CS6,CS7)</f>
        <v>0.82407407407407407</v>
      </c>
      <c r="CT20">
        <f>AVERAGE(CT5,CT6,CT7)</f>
        <v>1.2393162393162391</v>
      </c>
      <c r="CV20">
        <f>AVERAGE(CV5,CV6,CV7)</f>
        <v>0.6505851967882218</v>
      </c>
      <c r="CW20">
        <f>AVERAGE(CW5,CW6,CW7)</f>
        <v>0</v>
      </c>
      <c r="CX20">
        <f>AVERAGE(CX5,CX6,CX7)</f>
        <v>1.6666666666666667</v>
      </c>
      <c r="CY20">
        <f>AVERAGE(CY5,CY6,CY7)</f>
        <v>1.121082621082621</v>
      </c>
      <c r="CZ20">
        <f>AVERAGE(CZ5,CZ6,CZ7)</f>
        <v>0.90402476780185748</v>
      </c>
    </row>
    <row r="21" spans="1:104" x14ac:dyDescent="0.35">
      <c r="A21">
        <f>AVERAGE(A8,A9,A10)</f>
        <v>5</v>
      </c>
      <c r="B21">
        <f>AVERAGE(B8,B9,B10)</f>
        <v>87.666666666666671</v>
      </c>
      <c r="C21">
        <f>AVERAGE(C8,C9,C10)</f>
        <v>231.33333333333334</v>
      </c>
      <c r="E21">
        <f>AVERAGE(E8,E9,E10)</f>
        <v>0.34149999999999997</v>
      </c>
      <c r="F21">
        <f>AVERAGE(F8,F9,F10)</f>
        <v>73</v>
      </c>
      <c r="G21">
        <f>AVERAGE(G8,G9,G10)</f>
        <v>5.333333333333333</v>
      </c>
      <c r="H21">
        <f>AVERAGE(H8,H9,H10)</f>
        <v>126.66666666666667</v>
      </c>
      <c r="I21">
        <f>AVERAGE(I8,I9,I10)</f>
        <v>234.66666666666666</v>
      </c>
      <c r="J21">
        <f>AVERAGE(J8,J9,J10)</f>
        <v>108</v>
      </c>
      <c r="K21">
        <f>AVERAGE(K8,K9,K10)</f>
        <v>1.8570871689515756</v>
      </c>
      <c r="L21">
        <f>AVERAGE(L8,L9,L10)</f>
        <v>27.873015873015873</v>
      </c>
      <c r="N21">
        <f>AVERAGE(N8,N9,N10)</f>
        <v>0.23586666666666667</v>
      </c>
      <c r="O21">
        <f>AVERAGE(O8,O9,O10)</f>
        <v>23.333333333333332</v>
      </c>
      <c r="P21">
        <f>AVERAGE(P8,P9,P10)</f>
        <v>110.33333333333333</v>
      </c>
      <c r="Q21">
        <f>AVERAGE(Q8,Q9,Q10)</f>
        <v>2.6666666666666665</v>
      </c>
      <c r="R21">
        <f>AVERAGE(R8,R9,R10)</f>
        <v>126.66666666666667</v>
      </c>
      <c r="S21">
        <f>AVERAGE(S8,S9,S10)</f>
        <v>138.33333333333334</v>
      </c>
      <c r="T21">
        <f>AVERAGE(T8,T9,T10)</f>
        <v>11.666666666666666</v>
      </c>
      <c r="U21">
        <f>AVERAGE(U8,U9,U10)</f>
        <v>1.0950528755613502</v>
      </c>
      <c r="V21">
        <f>AVERAGE(V8,V9,V10)</f>
        <v>6.166666666666667</v>
      </c>
      <c r="W21">
        <f>AVERAGE(W8,W9,W10)</f>
        <v>465.33333333333331</v>
      </c>
      <c r="X21">
        <f>AVERAGE(X8,X9,X10)</f>
        <v>477</v>
      </c>
      <c r="Z21">
        <f>AVERAGE(Z8,Z9,Z10)</f>
        <v>0.50736666666666663</v>
      </c>
      <c r="AA21">
        <f>AVERAGE(AA8,AA9,AA10)</f>
        <v>38.333333333333336</v>
      </c>
      <c r="AB21">
        <f>AVERAGE(AB8,AB9,AB10)</f>
        <v>86.666666666666671</v>
      </c>
      <c r="AC21">
        <f>AVERAGE(AC8,AC9,AC10)</f>
        <v>3</v>
      </c>
      <c r="AD21">
        <f>AVERAGE(AD8,AD9,AD10)</f>
        <v>126.66666666666667</v>
      </c>
      <c r="AE21">
        <f>AVERAGE(AE8,AE9,AE10)</f>
        <v>147.66666666666666</v>
      </c>
      <c r="AF21">
        <f>AVERAGE(AF8,AF9,AF10)</f>
        <v>21</v>
      </c>
      <c r="AG21">
        <f>AVERAGE(AG8,AG9,AG10)</f>
        <v>1.1741100707202401</v>
      </c>
      <c r="AH21">
        <f>AVERAGE(AH8,AH9,AH10)</f>
        <v>10</v>
      </c>
      <c r="AI21">
        <f>AVERAGE(AI8,AI9,AI10)</f>
        <v>1374</v>
      </c>
      <c r="AJ21">
        <f>AVERAGE(AJ8,AJ9,AJ10)</f>
        <v>1395</v>
      </c>
      <c r="AL21">
        <f>AVERAGE(AL8,AL9,AL10)</f>
        <v>0.76690000000000003</v>
      </c>
      <c r="AM21">
        <f>AVERAGE(AM8,AM9,AM10)</f>
        <v>23.333333333333332</v>
      </c>
      <c r="AN21">
        <f>AVERAGE(AN8,AN9,AN10)</f>
        <v>109.33333333333333</v>
      </c>
      <c r="AO21">
        <f>AVERAGE(AO8,AO9,AO10)</f>
        <v>127</v>
      </c>
      <c r="AP21">
        <f>AVERAGE(AP8,AP9,AP10)</f>
        <v>1.1827334169632113</v>
      </c>
      <c r="AQ21">
        <f>AVERAGE(AQ8,AQ9,AQ10)</f>
        <v>3</v>
      </c>
      <c r="AR21">
        <f>AVERAGE(AR8,AR9,AR10)</f>
        <v>126.66666666666667</v>
      </c>
      <c r="AS21">
        <f>AVERAGE(AS8,AS9,AS10)</f>
        <v>142.33333333333334</v>
      </c>
      <c r="AT21">
        <f>AVERAGE(AT8,AT9,AT10)</f>
        <v>15.666666666666666</v>
      </c>
      <c r="AU21">
        <f>AVERAGE(AU8,AU9,AU10)</f>
        <v>1.1238190246664823</v>
      </c>
      <c r="AV21">
        <f>AVERAGE(AV8,AV9,AV10)</f>
        <v>7.0555555555555562</v>
      </c>
      <c r="AW21">
        <f>AVERAGE(AW8,AW9,AW10)</f>
        <v>1374</v>
      </c>
      <c r="AX21">
        <f>AVERAGE(AX8,AX9,AX10)</f>
        <v>1389.6666666666667</v>
      </c>
      <c r="AZ21">
        <f>AVERAGE(AZ8,AZ9,AZ10)</f>
        <v>1.0264666666666666</v>
      </c>
      <c r="BA21">
        <f>AVERAGE(BA8,BA9,BA10)</f>
        <v>35.666666666666664</v>
      </c>
      <c r="BB21">
        <f>AVERAGE(BB8,BB9,BB10)</f>
        <v>67</v>
      </c>
      <c r="BC21">
        <f>AVERAGE(BC8,BC9,BC10)</f>
        <v>1.9100763734910078</v>
      </c>
      <c r="BD21">
        <f>AVERAGE(BD8,BD9,BD10)</f>
        <v>86.666666666666671</v>
      </c>
      <c r="BE21">
        <f>AVERAGE(BE8,BE9,BE10)</f>
        <v>2.6666666666666665</v>
      </c>
      <c r="BF21">
        <f>AVERAGE(BF8,BF9,BF10)</f>
        <v>126.66666666666667</v>
      </c>
      <c r="BG21">
        <f>AVERAGE(BG8,BG9,BG10)</f>
        <v>148</v>
      </c>
      <c r="BH21">
        <f>AVERAGE(BH8,BH9,BH10)</f>
        <v>21.333333333333332</v>
      </c>
      <c r="BI21">
        <f>AVERAGE(BI8,BI9,BI10)</f>
        <v>1.1769349294773024</v>
      </c>
      <c r="BJ21">
        <f>AVERAGE(BJ8,BJ9,BJ10)</f>
        <v>10</v>
      </c>
      <c r="BK21">
        <f>AVERAGE(BK8,BK9,BK10)</f>
        <v>1375</v>
      </c>
      <c r="BL21">
        <f>AVERAGE(BL8,BL9,BL10)</f>
        <v>1396.3333333333333</v>
      </c>
      <c r="BO21">
        <f>AVERAGE(BO8,BO9,BO10)</f>
        <v>37.333333333333336</v>
      </c>
      <c r="BP21">
        <f>AVERAGE(BP8,BP9,BP10)</f>
        <v>1.507654946679337</v>
      </c>
      <c r="BQ21">
        <f>AVERAGE(BQ8,BQ9,BQ10)</f>
        <v>13.666666666666666</v>
      </c>
      <c r="BR21">
        <f>AVERAGE(BR8,BR9,BR10)</f>
        <v>1.184739379861331</v>
      </c>
      <c r="BS21">
        <f>AVERAGE(BS8,BS9,BS10)</f>
        <v>36.333333333333336</v>
      </c>
      <c r="BT21">
        <f>AVERAGE(BT8,BT9,BT10)</f>
        <v>1.4924787949178191</v>
      </c>
      <c r="BV21">
        <f>AVERAGE(BV8,BV9,BV10)</f>
        <v>2.0997283369819453</v>
      </c>
      <c r="BW21">
        <f>AVERAGE(BW8,BW9,BW10)</f>
        <v>15</v>
      </c>
      <c r="BX21">
        <f>AVERAGE(BX8,BX9,BX10)</f>
        <v>1.6585081585081587</v>
      </c>
      <c r="BY21">
        <f>AVERAGE(BY8,BY9,BY10)</f>
        <v>23.666666666666668</v>
      </c>
      <c r="BZ21">
        <f>AVERAGE(BZ8,BZ9,BZ10)</f>
        <v>1.2711197283452262</v>
      </c>
      <c r="CC21">
        <f>AVERAGE(CC8,CC9,CC10)</f>
        <v>0.32016773286284278</v>
      </c>
      <c r="CD21">
        <f>AVERAGE(CD8,CD9,CD10)</f>
        <v>1</v>
      </c>
      <c r="CE21">
        <f>AVERAGE(CE8,CE9,CE10)</f>
        <v>1.0100633197648123</v>
      </c>
      <c r="CF21">
        <f>AVERAGE(CF8,CF9,CF10)</f>
        <v>0</v>
      </c>
      <c r="CG21">
        <f>AVERAGE(CG8,CG9,CG10)</f>
        <v>1.5176151761517653E-2</v>
      </c>
      <c r="CI21">
        <f>AVERAGE(CI8,CI9,CI10)</f>
        <v>1.5840622427288571</v>
      </c>
      <c r="CJ21">
        <f>AVERAGE(CJ8,CJ9,CJ10)</f>
        <v>22.666666666666668</v>
      </c>
      <c r="CK21">
        <f>AVERAGE(CK8,CK9,CK10)</f>
        <v>1.2582955887884133</v>
      </c>
      <c r="CL21">
        <f>AVERAGE(CL8,CL9,CL10)</f>
        <v>0.30773941505648811</v>
      </c>
      <c r="CN21">
        <f>AVERAGE(CN8,CN9,CN10)</f>
        <v>0.24926299696688792</v>
      </c>
      <c r="CO21">
        <f>AVERAGE(CO8,CO9,CO10)</f>
        <v>23.666666666666668</v>
      </c>
      <c r="CP21">
        <f>AVERAGE(CP8,CP9,CP10)</f>
        <v>1.2711197283452262</v>
      </c>
      <c r="CQ21">
        <f>AVERAGE(CQ8,CQ9,CQ10)</f>
        <v>0.78851618914512001</v>
      </c>
      <c r="CR21">
        <f>AVERAGE(CR8,CR9,CR10)</f>
        <v>12.333333333333334</v>
      </c>
      <c r="CS21">
        <f>AVERAGE(CS8,CS9,CS10)</f>
        <v>0.66371027346637101</v>
      </c>
      <c r="CT21">
        <f>AVERAGE(CT8,CT9,CT10)</f>
        <v>1.5442890442890442</v>
      </c>
      <c r="CV21">
        <f>AVERAGE(CV8,CV9,CV10)</f>
        <v>0.49819939968073684</v>
      </c>
      <c r="CW21">
        <f>AVERAGE(CW8,CW9,CW10)</f>
        <v>0</v>
      </c>
      <c r="CX21">
        <f>AVERAGE(CX8,CX9,CX10)</f>
        <v>2.6666666666666665</v>
      </c>
      <c r="CY21">
        <f>AVERAGE(CY8,CY9,CY10)</f>
        <v>1.0808080808080807</v>
      </c>
      <c r="CZ21">
        <f>AVERAGE(CZ8,CZ9,CZ10)</f>
        <v>0.92836257309941528</v>
      </c>
    </row>
    <row r="22" spans="1:104" x14ac:dyDescent="0.35">
      <c r="A22">
        <f>AVERAGE(A11,A12,A13)</f>
        <v>6</v>
      </c>
      <c r="B22">
        <f>AVERAGE(B11,B12,B13)</f>
        <v>185</v>
      </c>
      <c r="C22">
        <f>AVERAGE(C11,C12,C13)</f>
        <v>588</v>
      </c>
      <c r="E22">
        <f>AVERAGE(E11,E12,E13)</f>
        <v>3.0890999999999997</v>
      </c>
      <c r="F22">
        <f>AVERAGE(F11,F12,F13)</f>
        <v>190.33333333333334</v>
      </c>
      <c r="G22">
        <f>AVERAGE(G11,G12,G13)</f>
        <v>9</v>
      </c>
      <c r="H22">
        <f>AVERAGE(H11,H12,H13)</f>
        <v>313.33333333333331</v>
      </c>
      <c r="I22">
        <f>AVERAGE(I11,I12,I13)</f>
        <v>1004.6666666666666</v>
      </c>
      <c r="J22">
        <f>AVERAGE(J11,J12,J13)</f>
        <v>691.33333333333337</v>
      </c>
      <c r="K22">
        <f>AVERAGE(K11,K12,K13)</f>
        <v>3.2029175906577394</v>
      </c>
      <c r="L22">
        <f>AVERAGE(L11,L12,L13)</f>
        <v>88.075396825396822</v>
      </c>
      <c r="N22">
        <f>AVERAGE(N11,N12,N13)</f>
        <v>1.2564666666666666</v>
      </c>
      <c r="O22">
        <f>AVERAGE(O11,O12,O13)</f>
        <v>53</v>
      </c>
      <c r="P22">
        <f>AVERAGE(P11,P12,P13)</f>
        <v>291.33333333333331</v>
      </c>
      <c r="Q22">
        <f>AVERAGE(Q11,Q12,Q13)</f>
        <v>3</v>
      </c>
      <c r="R22">
        <f>AVERAGE(R11,R12,R13)</f>
        <v>313.33333333333331</v>
      </c>
      <c r="S22">
        <f>AVERAGE(S11,S12,S13)</f>
        <v>363.33333333333331</v>
      </c>
      <c r="T22">
        <f>AVERAGE(T11,T12,T13)</f>
        <v>50</v>
      </c>
      <c r="U22">
        <f>AVERAGE(U11,U12,U13)</f>
        <v>1.1561672850299229</v>
      </c>
      <c r="V22">
        <f>AVERAGE(V11,V12,V13)</f>
        <v>25</v>
      </c>
      <c r="W22">
        <f>AVERAGE(W11,W12,W13)</f>
        <v>1160.6666666666667</v>
      </c>
      <c r="X22">
        <f>AVERAGE(X11,X12,X13)</f>
        <v>1210.6666666666667</v>
      </c>
      <c r="Z22">
        <f>AVERAGE(Z11,Z12,Z13)</f>
        <v>2.0367333333333337</v>
      </c>
      <c r="AA22">
        <f>AVERAGE(AA11,AA12,AA13)</f>
        <v>78.333333333333329</v>
      </c>
      <c r="AB22">
        <f>AVERAGE(AB11,AB12,AB13)</f>
        <v>222.66666666666666</v>
      </c>
      <c r="AC22">
        <f>AVERAGE(AC11,AC12,AC13)</f>
        <v>3.3333333333333335</v>
      </c>
      <c r="AD22">
        <f>AVERAGE(AD11,AD12,AD13)</f>
        <v>313.33333333333331</v>
      </c>
      <c r="AE22">
        <f>AVERAGE(AE11,AE12,AE13)</f>
        <v>369.66666666666669</v>
      </c>
      <c r="AF22">
        <f>AVERAGE(AF11,AF12,AF13)</f>
        <v>56.333333333333336</v>
      </c>
      <c r="AG22">
        <f>AVERAGE(AG11,AG12,AG13)</f>
        <v>1.1823843323098355</v>
      </c>
      <c r="AH22">
        <f>AVERAGE(AH11,AH12,AH13)</f>
        <v>35.416666666666664</v>
      </c>
      <c r="AI22">
        <f>AVERAGE(AI11,AI12,AI13)</f>
        <v>3443.3333333333335</v>
      </c>
      <c r="AJ22">
        <f>AVERAGE(AJ11,AJ12,AJ13)</f>
        <v>3499.6666666666665</v>
      </c>
      <c r="AL22">
        <f>AVERAGE(AL11,AL12,AL13)</f>
        <v>4.7967333333333331</v>
      </c>
      <c r="AM22">
        <f>AVERAGE(AM11,AM12,AM13)</f>
        <v>53</v>
      </c>
      <c r="AN22">
        <f>AVERAGE(AN11,AN12,AN13)</f>
        <v>286.33333333333331</v>
      </c>
      <c r="AO22">
        <f>AVERAGE(AO11,AO12,AO13)</f>
        <v>326.66666666666669</v>
      </c>
      <c r="AP22">
        <f>AVERAGE(AP11,AP12,AP13)</f>
        <v>1.1381354425626762</v>
      </c>
      <c r="AQ22">
        <f>AVERAGE(AQ11,AQ12,AQ13)</f>
        <v>3</v>
      </c>
      <c r="AR22">
        <f>AVERAGE(AR11,AR12,AR13)</f>
        <v>313.33333333333331</v>
      </c>
      <c r="AS22">
        <f>AVERAGE(AS11,AS12,AS13)</f>
        <v>365</v>
      </c>
      <c r="AT22">
        <f>AVERAGE(AT11,AT12,AT13)</f>
        <v>51.666666666666664</v>
      </c>
      <c r="AU22">
        <f>AVERAGE(AU11,AU12,AU13)</f>
        <v>1.1562959774404025</v>
      </c>
      <c r="AV22">
        <f>AVERAGE(AV11,AV12,AV13)</f>
        <v>24.611111111111114</v>
      </c>
      <c r="AW22">
        <f>AVERAGE(AW11,AW12,AW13)</f>
        <v>3443.3333333333335</v>
      </c>
      <c r="AX22">
        <f>AVERAGE(AX11,AX12,AX13)</f>
        <v>3495</v>
      </c>
      <c r="AZ22">
        <f>AVERAGE(AZ11,AZ12,AZ13)</f>
        <v>4.1286999999999994</v>
      </c>
      <c r="BA22">
        <f>AVERAGE(BA11,BA12,BA13)</f>
        <v>73.333333333333329</v>
      </c>
      <c r="BB22">
        <f>AVERAGE(BB11,BB12,BB13)</f>
        <v>138.66666666666666</v>
      </c>
      <c r="BC22">
        <f>AVERAGE(BC11,BC12,BC13)</f>
        <v>1.9084967320261441</v>
      </c>
      <c r="BD22">
        <f>AVERAGE(BD11,BD12,BD13)</f>
        <v>222.66666666666666</v>
      </c>
      <c r="BE22">
        <f>AVERAGE(BE11,BE12,BE13)</f>
        <v>2.6666666666666665</v>
      </c>
      <c r="BF22">
        <f>AVERAGE(BF11,BF12,BF13)</f>
        <v>313.33333333333331</v>
      </c>
      <c r="BG22">
        <f>AVERAGE(BG11,BG12,BG13)</f>
        <v>338</v>
      </c>
      <c r="BH22">
        <f>AVERAGE(BH11,BH12,BH13)</f>
        <v>24.666666666666668</v>
      </c>
      <c r="BI22">
        <f>AVERAGE(BI11,BI12,BI13)</f>
        <v>1.0832302727905951</v>
      </c>
      <c r="BJ22" t="e">
        <f>AVERAGE(BJ11,BJ12,BJ13)</f>
        <v>#DIV/0!</v>
      </c>
      <c r="BK22">
        <f>AVERAGE(BK11,BK12,BK13)</f>
        <v>3444.3333333333335</v>
      </c>
      <c r="BL22">
        <f>AVERAGE(BL11,BL12,BL13)</f>
        <v>3469</v>
      </c>
      <c r="BO22">
        <f>AVERAGE(BO11,BO12,BO13)</f>
        <v>101</v>
      </c>
      <c r="BP22">
        <f>AVERAGE(BP11,BP12,BP13)</f>
        <v>1.5280765142394053</v>
      </c>
      <c r="BQ22">
        <f>AVERAGE(BQ11,BQ12,BQ13)</f>
        <v>32.333333333333336</v>
      </c>
      <c r="BR22">
        <f>AVERAGE(BR11,BR12,BR13)</f>
        <v>1.170513568459008</v>
      </c>
      <c r="BS22">
        <f>AVERAGE(BS11,BS12,BS13)</f>
        <v>96</v>
      </c>
      <c r="BT22">
        <f>AVERAGE(BT11,BT12,BT13)</f>
        <v>1.5014488105033339</v>
      </c>
      <c r="BV22">
        <f>AVERAGE(BV11,BV12,BV13)</f>
        <v>1.6919259539510492</v>
      </c>
      <c r="BW22">
        <f>AVERAGE(BW11,BW12,BW13)</f>
        <v>25.333333333333332</v>
      </c>
      <c r="BX22">
        <f>AVERAGE(BX11,BX12,BX13)</f>
        <v>1.479869935395542</v>
      </c>
      <c r="BY22">
        <f>AVERAGE(BY11,BY12,BY13)</f>
        <v>68.666666666666671</v>
      </c>
      <c r="BZ22">
        <f>AVERAGE(BZ11,BZ12,BZ13)</f>
        <v>1.3062940697808185</v>
      </c>
      <c r="CC22">
        <f>AVERAGE(CC11,CC12,CC13)</f>
        <v>0.2990693628521221</v>
      </c>
      <c r="CD22">
        <f>AVERAGE(CD11,CD12,CD13)</f>
        <v>5</v>
      </c>
      <c r="CE22">
        <f>AVERAGE(CE11,CE12,CE13)</f>
        <v>1.0196524469660477</v>
      </c>
      <c r="CF22">
        <f>AVERAGE(CF11,CF12,CF13)</f>
        <v>0</v>
      </c>
      <c r="CG22">
        <f>AVERAGE(CG11,CG12,CG13)</f>
        <v>2.6627703736071668E-2</v>
      </c>
      <c r="CI22">
        <f>AVERAGE(CI11,CI12,CI13)</f>
        <v>2.3341938839026866</v>
      </c>
      <c r="CJ22">
        <f>AVERAGE(CJ11,CJ12,CJ13)</f>
        <v>63.666666666666664</v>
      </c>
      <c r="CK22">
        <f>AVERAGE(CK11,CK12,CK13)</f>
        <v>1.2835232732427915</v>
      </c>
      <c r="CL22">
        <f>AVERAGE(CL11,CL12,CL13)</f>
        <v>0.33093524204432589</v>
      </c>
      <c r="CN22">
        <f>AVERAGE(CN11,CN12,CN13)</f>
        <v>0.31666146961496333</v>
      </c>
      <c r="CO22">
        <f>AVERAGE(CO11,CO12,CO13)</f>
        <v>68.666666666666671</v>
      </c>
      <c r="CP22">
        <f>AVERAGE(CP11,CP12,CP13)</f>
        <v>1.3062940697808185</v>
      </c>
      <c r="CQ22">
        <f>AVERAGE(CQ11,CQ12,CQ13)</f>
        <v>0.77165470519119894</v>
      </c>
      <c r="CR22">
        <f>AVERAGE(CR11,CR12,CR13)</f>
        <v>20.333333333333332</v>
      </c>
      <c r="CS22">
        <f>AVERAGE(CS11,CS12,CS13)</f>
        <v>0.72992530345471529</v>
      </c>
      <c r="CT22">
        <f>AVERAGE(CT11,CT12,CT13)</f>
        <v>1.3885477395195087</v>
      </c>
      <c r="CV22">
        <f>AVERAGE(CV11,CV12,CV13)</f>
        <v>0.51590657465669199</v>
      </c>
      <c r="CW22">
        <f>AVERAGE(CW11,CW12,CW13)</f>
        <v>0</v>
      </c>
      <c r="CX22">
        <f>AVERAGE(CX11,CX12,CX13)</f>
        <v>5</v>
      </c>
      <c r="CY22">
        <f>AVERAGE(CY11,CY12,CY13)</f>
        <v>1.0679271708683473</v>
      </c>
      <c r="CZ22">
        <f>AVERAGE(CZ11,CZ12,CZ13)</f>
        <v>0.93785914060513609</v>
      </c>
    </row>
    <row r="23" spans="1:104" x14ac:dyDescent="0.35">
      <c r="A23">
        <f>AVERAGE(A14,A15,A16)</f>
        <v>7</v>
      </c>
      <c r="B23">
        <f>AVERAGE(B14,B15,B16)</f>
        <v>279.66666666666669</v>
      </c>
      <c r="C23">
        <f>AVERAGE(C14,C15,C16)</f>
        <v>1642</v>
      </c>
      <c r="E23">
        <f>AVERAGE(E14,E15,E16)</f>
        <v>47.931666666666665</v>
      </c>
      <c r="F23">
        <f>AVERAGE(F14,F15,F16)</f>
        <v>490.66666666666669</v>
      </c>
      <c r="G23">
        <f>AVERAGE(G14,G15,G16)</f>
        <v>12.666666666666666</v>
      </c>
      <c r="H23">
        <f>AVERAGE(H14,H15,H16)</f>
        <v>885</v>
      </c>
      <c r="I23">
        <f>AVERAGE(I14,I15,I16)</f>
        <v>3860</v>
      </c>
      <c r="J23">
        <f>AVERAGE(J14,J15,J16)</f>
        <v>2975</v>
      </c>
      <c r="K23">
        <f>AVERAGE(K14,K15,K16)</f>
        <v>4.4238822252115799</v>
      </c>
      <c r="L23">
        <f>AVERAGE(L14,L15,L16)</f>
        <v>259.79393939393941</v>
      </c>
      <c r="N23">
        <f>AVERAGE(N14,N15,N16)</f>
        <v>32.388433333333332</v>
      </c>
      <c r="O23">
        <f>AVERAGE(O14,O15,O16)</f>
        <v>101.33333333333333</v>
      </c>
      <c r="P23">
        <f>AVERAGE(P14,P15,P16)</f>
        <v>943</v>
      </c>
      <c r="Q23">
        <f>AVERAGE(Q14,Q15,Q16)</f>
        <v>6.666666666666667</v>
      </c>
      <c r="R23">
        <f>AVERAGE(R14,R15,R16)</f>
        <v>885</v>
      </c>
      <c r="S23">
        <f>AVERAGE(S14,S15,S16)</f>
        <v>1507.3333333333333</v>
      </c>
      <c r="T23">
        <f>AVERAGE(T14,T15,T16)</f>
        <v>622.33333333333337</v>
      </c>
      <c r="U23">
        <f>AVERAGE(U14,U15,U16)</f>
        <v>1.7444543117276279</v>
      </c>
      <c r="V23">
        <f>AVERAGE(V14,V15,V16)</f>
        <v>112.05555555555556</v>
      </c>
      <c r="W23">
        <f>AVERAGE(W14,W15,W16)</f>
        <v>3173.6666666666665</v>
      </c>
      <c r="X23">
        <f>AVERAGE(X14,X15,X16)</f>
        <v>3796</v>
      </c>
      <c r="Z23">
        <f>AVERAGE(Z14,Z15,Z16)</f>
        <v>210.95546666666667</v>
      </c>
      <c r="AA23">
        <f>AVERAGE(AA14,AA15,AA16)</f>
        <v>154</v>
      </c>
      <c r="AB23">
        <f>AVERAGE(AB14,AB15,AB16)</f>
        <v>605.33333333333337</v>
      </c>
      <c r="AC23">
        <f>AVERAGE(AC14,AC15,AC16)</f>
        <v>5.333333333333333</v>
      </c>
      <c r="AD23">
        <f>AVERAGE(AD14,AD15,AD16)</f>
        <v>885</v>
      </c>
      <c r="AE23">
        <f>AVERAGE(AE14,AE15,AE16)</f>
        <v>1380.3333333333333</v>
      </c>
      <c r="AF23">
        <f>AVERAGE(AF14,AF15,AF16)</f>
        <v>495.33333333333331</v>
      </c>
      <c r="AG23">
        <f>AVERAGE(AG14,AG15,AG16)</f>
        <v>1.5950793216198145</v>
      </c>
      <c r="AH23" t="e">
        <f>AVERAGE(AH14,AH15,AH16)</f>
        <v>#DIV/0!</v>
      </c>
      <c r="AI23">
        <f>AVERAGE(AI14,AI15,AI16)</f>
        <v>9393</v>
      </c>
      <c r="AJ23">
        <f>AVERAGE(AJ14,AJ15,AJ16)</f>
        <v>9888.3333333333339</v>
      </c>
      <c r="AL23">
        <f>AVERAGE(AL14,AL15,AL16)</f>
        <v>471.5795</v>
      </c>
      <c r="AM23">
        <f>AVERAGE(AM14,AM15,AM16)</f>
        <v>101.33333333333333</v>
      </c>
      <c r="AN23">
        <f>AVERAGE(AN14,AN15,AN16)</f>
        <v>919</v>
      </c>
      <c r="AO23">
        <f>AVERAGE(AO14,AO15,AO16)</f>
        <v>967</v>
      </c>
      <c r="AP23">
        <f>AVERAGE(AP14,AP15,AP16)</f>
        <v>1.0575352287557629</v>
      </c>
      <c r="AQ23">
        <f>AVERAGE(AQ14,AQ15,AQ16)</f>
        <v>7.666666666666667</v>
      </c>
      <c r="AR23">
        <f>AVERAGE(AR14,AR15,AR16)</f>
        <v>885</v>
      </c>
      <c r="AS23">
        <f>AVERAGE(AS14,AS15,AS16)</f>
        <v>1930.6666666666667</v>
      </c>
      <c r="AT23">
        <f>AVERAGE(AT14,AT15,AT16)</f>
        <v>1045.6666666666667</v>
      </c>
      <c r="AU23">
        <f>AVERAGE(AU14,AU15,AU16)</f>
        <v>2.1965118936536303</v>
      </c>
      <c r="AV23">
        <f>AVERAGE(AV14,AV15,AV16)</f>
        <v>163.38518518518518</v>
      </c>
      <c r="AW23">
        <f>AVERAGE(AW14,AW15,AW16)</f>
        <v>9393</v>
      </c>
      <c r="AX23">
        <f>AVERAGE(AX14,AX15,AX16)</f>
        <v>10438.666666666666</v>
      </c>
      <c r="AZ23">
        <f>AVERAGE(AZ14,AZ15,AZ16)</f>
        <v>1066.7310999999997</v>
      </c>
      <c r="BA23">
        <f>AVERAGE(BA14,BA15,BA16)</f>
        <v>152.33333333333334</v>
      </c>
      <c r="BB23">
        <f>AVERAGE(BB14,BB15,BB16)</f>
        <v>210.66666666666666</v>
      </c>
      <c r="BC23">
        <f>AVERAGE(BC14,BC15,BC16)</f>
        <v>1.379960577230805</v>
      </c>
      <c r="BD23">
        <f>AVERAGE(BD14,BD15,BD16)</f>
        <v>605.33333333333337</v>
      </c>
      <c r="BE23">
        <f>AVERAGE(BE14,BE15,BE16)</f>
        <v>7.333333333333333</v>
      </c>
      <c r="BF23">
        <f>AVERAGE(BF14,BF15,BF16)</f>
        <v>885</v>
      </c>
      <c r="BG23">
        <f>AVERAGE(BG14,BG15,BG16)</f>
        <v>1494.3333333333333</v>
      </c>
      <c r="BH23">
        <f>AVERAGE(BH14,BH15,BH16)</f>
        <v>609.33333333333337</v>
      </c>
      <c r="BI23">
        <f>AVERAGE(BI14,BI15,BI16)</f>
        <v>1.7287993028753759</v>
      </c>
      <c r="BJ23" t="e">
        <f>AVERAGE(BJ14,BJ15,BJ16)</f>
        <v>#DIV/0!</v>
      </c>
      <c r="BK23">
        <f>AVERAGE(BK14,BK15,BK16)</f>
        <v>9394</v>
      </c>
      <c r="BL23">
        <f>AVERAGE(BL14,BL15,BL16)</f>
        <v>10003.333333333334</v>
      </c>
      <c r="BO23">
        <f>AVERAGE(BO14,BO15,BO16)</f>
        <v>452.33333333333331</v>
      </c>
      <c r="BP23">
        <f>AVERAGE(BP14,BP15,BP16)</f>
        <v>1.9145722822875857</v>
      </c>
      <c r="BQ23">
        <f>AVERAGE(BQ14,BQ15,BQ16)</f>
        <v>114.66666666666667</v>
      </c>
      <c r="BR23">
        <f>AVERAGE(BR14,BR15,BR16)</f>
        <v>1.237674200454796</v>
      </c>
      <c r="BS23">
        <f>AVERAGE(BS14,BS15,BS16)</f>
        <v>428.33333333333331</v>
      </c>
      <c r="BT23">
        <f>AVERAGE(BT14,BT15,BT16)</f>
        <v>1.8650417950277653</v>
      </c>
      <c r="BV23">
        <f>AVERAGE(BV14,BV15,BV16)</f>
        <v>5.3292099433400457</v>
      </c>
      <c r="BW23">
        <f>AVERAGE(BW14,BW15,BW16)</f>
        <v>52.666666666666664</v>
      </c>
      <c r="BX23">
        <f>AVERAGE(BX14,BX15,BX16)</f>
        <v>1.5246271338724169</v>
      </c>
      <c r="BY23">
        <f>AVERAGE(BY14,BY15,BY16)</f>
        <v>337.66666666666669</v>
      </c>
      <c r="BZ23">
        <f>AVERAGE(BZ14,BZ15,BZ16)</f>
        <v>1.5470756633513008</v>
      </c>
      <c r="CC23">
        <f>AVERAGE(CC14,CC15,CC16)</f>
        <v>7.1124576258398811E-2</v>
      </c>
      <c r="CD23">
        <f>AVERAGE(CD14,CD15,CD16)</f>
        <v>24</v>
      </c>
      <c r="CE23">
        <f>AVERAGE(CE14,CE15,CE16)</f>
        <v>1.0290189159301777</v>
      </c>
      <c r="CF23">
        <f>AVERAGE(CF14,CF15,CF16)</f>
        <v>0</v>
      </c>
      <c r="CG23">
        <f>AVERAGE(CG14,CG15,CG16)</f>
        <v>4.9530487259820344E-2</v>
      </c>
      <c r="CI23">
        <f>AVERAGE(CI14,CI15,CI16)</f>
        <v>11.258008783150663</v>
      </c>
      <c r="CJ23">
        <f>AVERAGE(CJ14,CJ15,CJ16)</f>
        <v>313.66666666666669</v>
      </c>
      <c r="CK23">
        <f>AVERAGE(CK14,CK15,CK16)</f>
        <v>1.5069389039757273</v>
      </c>
      <c r="CL23">
        <f>AVERAGE(CL14,CL15,CL16)</f>
        <v>0.62736759457296909</v>
      </c>
      <c r="CN23">
        <f>AVERAGE(CN14,CN15,CN16)</f>
        <v>0.32965001929239074</v>
      </c>
      <c r="CO23">
        <f>AVERAGE(CO14,CO15,CO16)</f>
        <v>337.66666666666669</v>
      </c>
      <c r="CP23">
        <f>AVERAGE(CP14,CP15,CP16)</f>
        <v>1.5470756633513008</v>
      </c>
      <c r="CQ23">
        <f>AVERAGE(CQ14,CQ15,CQ16)</f>
        <v>0.66658426490914191</v>
      </c>
      <c r="CR23">
        <f>AVERAGE(CR14,CR15,CR16)</f>
        <v>51</v>
      </c>
      <c r="CS23">
        <f>AVERAGE(CS14,CS15,CS16)</f>
        <v>0.67352564662069769</v>
      </c>
      <c r="CT23">
        <f>AVERAGE(CT14,CT15,CT16)</f>
        <v>1.5083904505198305</v>
      </c>
      <c r="CV23">
        <f>AVERAGE(CV14,CV15,CV16)</f>
        <v>0.34911211337426423</v>
      </c>
      <c r="CW23">
        <f>AVERAGE(CW14,CW15,CW16)</f>
        <v>0</v>
      </c>
      <c r="CX23">
        <f>AVERAGE(CX14,CX15,CX16)</f>
        <v>1.6666666666666667</v>
      </c>
      <c r="CY23">
        <f>AVERAGE(CY14,CY15,CY16)</f>
        <v>1.0118486514794449</v>
      </c>
      <c r="CZ23">
        <f>AVERAGE(CZ14,CZ15,CZ16)</f>
        <v>0.9883717255980029</v>
      </c>
    </row>
    <row r="26" spans="1:104" x14ac:dyDescent="0.35">
      <c r="BX26">
        <f>AVERAGE(BX16,BX15,BX14,BX13,BX12,BX11,BX10,BX9,BX8,BX7,BX6,BX5,BX4,BX3,BX2)</f>
        <v>1.5584862714404493</v>
      </c>
      <c r="BZ26">
        <f>AVERAGE(BZ16,BZ15,BZ14,BZ13,BZ12,BZ11,BZ10,BZ9,BZ8,BZ7,BZ6,BZ5,BZ4,BZ3,BZ2)</f>
        <v>1.300839179204498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CP-Nets</vt:lpstr>
      <vt:lpstr>CP-Theories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Rauer, Erik T [COM S]</dc:creator>
  <cp:lastModifiedBy>Rauer, Erik T [COM S]</cp:lastModifiedBy>
  <dcterms:created xsi:type="dcterms:W3CDTF">2025-07-17T01:35:50Z</dcterms:created>
  <dcterms:modified xsi:type="dcterms:W3CDTF">2025-10-09T05:30:49Z</dcterms:modified>
</cp:coreProperties>
</file>